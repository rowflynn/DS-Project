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hidePivotFieldList="1" defaultThemeVersion="166925"/>
  <xr:revisionPtr revIDLastSave="0" documentId="8_{6E99EDF3-EC04-44A8-84AC-4D8A426B7D58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2024 YTD" sheetId="3" r:id="rId1"/>
    <sheet name="2024 Admissions Forecast" sheetId="1" r:id="rId2"/>
    <sheet name="YTD Data" sheetId="4" r:id="rId3"/>
    <sheet name="Forcast Data" sheetId="8" r:id="rId4"/>
    <sheet name="Sheet3" sheetId="9" r:id="rId5"/>
    <sheet name="Sheet1" sheetId="7" r:id="rId6"/>
    <sheet name="Sheet2" sheetId="6" r:id="rId7"/>
  </sheets>
  <calcPr calcId="191028"/>
  <pivotCaches>
    <pivotCache cacheId="0" r:id="rId8"/>
    <pivotCache cacheId="1" r:id="rId9"/>
    <pivotCache cacheId="2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3" l="1"/>
  <c r="E12" i="1"/>
  <c r="E21" i="8"/>
  <c r="E11" i="1"/>
  <c r="B7" i="1"/>
  <c r="C21" i="8"/>
  <c r="B6" i="1"/>
  <c r="J7" i="8"/>
  <c r="J8" i="8"/>
  <c r="J9" i="8"/>
  <c r="J10" i="8"/>
  <c r="J11" i="8"/>
  <c r="J12" i="8"/>
  <c r="J13" i="8"/>
  <c r="J6" i="8"/>
  <c r="I2" i="8"/>
  <c r="I3" i="8"/>
  <c r="I4" i="8"/>
  <c r="I5" i="8"/>
  <c r="I6" i="8"/>
  <c r="J17" i="8"/>
  <c r="L2" i="8"/>
  <c r="O2" i="8"/>
  <c r="C14" i="8"/>
  <c r="E6" i="3"/>
  <c r="E7" i="3"/>
  <c r="B7" i="3"/>
  <c r="D7" i="3"/>
  <c r="C7" i="3"/>
  <c r="D6" i="3"/>
  <c r="C6" i="3"/>
  <c r="A4" i="4"/>
  <c r="D4" i="4"/>
  <c r="B4" i="4"/>
  <c r="C4" i="4"/>
  <c r="D18" i="8" l="1"/>
  <c r="G14" i="8" s="1"/>
  <c r="D2" i="8"/>
  <c r="N2" i="8"/>
  <c r="D3" i="8"/>
  <c r="D4" i="8"/>
  <c r="D5" i="8"/>
  <c r="D6" i="8"/>
  <c r="G6" i="8" s="1"/>
  <c r="D7" i="8"/>
  <c r="H7" i="8" s="1"/>
  <c r="D8" i="8"/>
  <c r="H8" i="8" s="1"/>
  <c r="D9" i="8"/>
  <c r="H9" i="8" s="1"/>
  <c r="D10" i="8"/>
  <c r="H10" i="8" s="1"/>
  <c r="D11" i="8"/>
  <c r="H11" i="8" s="1"/>
  <c r="D12" i="8"/>
  <c r="H12" i="8" s="1"/>
  <c r="D13" i="8"/>
  <c r="H13" i="8" s="1"/>
  <c r="D14" i="8"/>
  <c r="H6" i="8" l="1"/>
  <c r="Q2" i="8"/>
  <c r="P2" i="8" s="1"/>
  <c r="M2" i="8"/>
</calcChain>
</file>

<file path=xl/sharedStrings.xml><?xml version="1.0" encoding="utf-8"?>
<sst xmlns="http://schemas.openxmlformats.org/spreadsheetml/2006/main" count="126" uniqueCount="60">
  <si>
    <t>2024 Healthcare Performance Dashboard</t>
  </si>
  <si>
    <t>YTD: Jan–May 2024   </t>
  </si>
  <si>
    <t>Admissions</t>
  </si>
  <si>
    <t>Total Billing</t>
  </si>
  <si>
    <t>Average Billing</t>
  </si>
  <si>
    <t>Average Length of Stay</t>
  </si>
  <si>
    <t xml:space="preserve">            *Values through May 5, 2024</t>
  </si>
  <si>
    <t xml:space="preserve">
</t>
  </si>
  <si>
    <t>2024 Healthcare Financial Breakdown</t>
  </si>
  <si>
    <t>Total Projected Admissions</t>
  </si>
  <si>
    <t>Total</t>
  </si>
  <si>
    <t>Projected Revenue</t>
  </si>
  <si>
    <t>Average length of Stay</t>
  </si>
  <si>
    <t>Year</t>
  </si>
  <si>
    <t>Month</t>
  </si>
  <si>
    <t>Historic Average</t>
  </si>
  <si>
    <t>Billing</t>
  </si>
  <si>
    <t>January</t>
  </si>
  <si>
    <t>February</t>
  </si>
  <si>
    <t>March</t>
  </si>
  <si>
    <t>April</t>
  </si>
  <si>
    <t>May</t>
  </si>
  <si>
    <t>All yrs</t>
  </si>
  <si>
    <t>Est adm</t>
  </si>
  <si>
    <t>Actual Revenue</t>
  </si>
  <si>
    <t>YTD Admissions</t>
  </si>
  <si>
    <t>Expected Remaining Admissions</t>
  </si>
  <si>
    <t>Expected Full Year Admissions</t>
  </si>
  <si>
    <t>YTD Revenue</t>
  </si>
  <si>
    <t>Expected Remaining Revenue</t>
  </si>
  <si>
    <t>Expected Full Year Revenue</t>
  </si>
  <si>
    <t>June</t>
  </si>
  <si>
    <t>estimated</t>
  </si>
  <si>
    <t>July</t>
  </si>
  <si>
    <t>August</t>
  </si>
  <si>
    <t>September</t>
  </si>
  <si>
    <t>October</t>
  </si>
  <si>
    <t>November</t>
  </si>
  <si>
    <t>December</t>
  </si>
  <si>
    <t>est Total</t>
  </si>
  <si>
    <t>2024 YTD total</t>
  </si>
  <si>
    <t>Jan-Apr</t>
  </si>
  <si>
    <t>Hospital</t>
  </si>
  <si>
    <t>Billed Amount</t>
  </si>
  <si>
    <t>2023 admissions</t>
  </si>
  <si>
    <t>2023 rev</t>
  </si>
  <si>
    <t>Smith PLC</t>
  </si>
  <si>
    <t>%diff 23-24</t>
  </si>
  <si>
    <t>Miller LLC</t>
  </si>
  <si>
    <t>Wilson PLC</t>
  </si>
  <si>
    <t>Medina and Elliott Stewart</t>
  </si>
  <si>
    <t>Ltd Wilson</t>
  </si>
  <si>
    <t>Days Stayed</t>
  </si>
  <si>
    <t>Vaughn PLC</t>
  </si>
  <si>
    <t>Estimated Admissions</t>
  </si>
  <si>
    <t>Grand Total</t>
  </si>
  <si>
    <t xml:space="preserve">Historical Average </t>
  </si>
  <si>
    <t>YTD 2024</t>
  </si>
  <si>
    <t>May*</t>
  </si>
  <si>
    <t>Historical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</si>
</sst>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"/>
    <numFmt numFmtId="165" formatCode="0.0"/>
    <numFmt numFmtId="166" formatCode="\▲\ 0.00%;\▼\ 0.00%;\-"/>
    <numFmt numFmtId="167" formatCode="&quot;$&quot;0.0,,&quot;M&quot;"/>
    <numFmt numFmtId="168" formatCode="&quot;$&quot;#,##0"/>
    <numFmt numFmtId="169" formatCode="0.0\ &quot;days&quot;"/>
  </numFmts>
  <fonts count="12">
    <font>
      <sz val="11"/>
      <color theme="1"/>
      <name val="Calibri"/>
      <family val="2"/>
      <scheme val="minor"/>
    </font>
    <font>
      <sz val="26"/>
      <color theme="1"/>
      <name val="Calibri Light"/>
      <scheme val="major"/>
    </font>
    <font>
      <sz val="11"/>
      <color theme="1"/>
      <name val="Calibri Light"/>
      <scheme val="major"/>
    </font>
    <font>
      <sz val="15"/>
      <color theme="1"/>
      <name val="Calibri Light"/>
      <scheme val="major"/>
    </font>
    <font>
      <sz val="22"/>
      <color theme="1"/>
      <name val="Calibri Light"/>
      <scheme val="major"/>
    </font>
    <font>
      <sz val="12"/>
      <color rgb="FF009E73"/>
      <name val="Calibri Light"/>
      <scheme val="major"/>
    </font>
    <font>
      <sz val="24"/>
      <color theme="1"/>
      <name val="Calibri Light"/>
      <scheme val="major"/>
    </font>
    <font>
      <sz val="18"/>
      <color rgb="FF000000"/>
      <name val="Calibri Light"/>
      <scheme val="major"/>
    </font>
    <font>
      <sz val="14"/>
      <color theme="1"/>
      <name val="Calibri Light"/>
      <scheme val="major"/>
    </font>
    <font>
      <sz val="12"/>
      <color theme="1"/>
      <name val="Calibri Light"/>
      <scheme val="major"/>
    </font>
    <font>
      <sz val="9"/>
      <color theme="1"/>
      <name val="Calibri Light"/>
      <scheme val="major"/>
    </font>
    <font>
      <b/>
      <sz val="22"/>
      <color rgb="FF9264B5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pivotButton="1"/>
    <xf numFmtId="0" fontId="1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9" fontId="4" fillId="0" borderId="0" xfId="0" applyNumberFormat="1" applyFont="1" applyBorder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Border="1" applyAlignment="1">
      <alignment horizontal="center"/>
    </xf>
    <xf numFmtId="167" fontId="0" fillId="0" borderId="0" xfId="0" applyNumberFormat="1"/>
    <xf numFmtId="0" fontId="1" fillId="0" borderId="0" xfId="0" applyFont="1"/>
    <xf numFmtId="0" fontId="9" fillId="0" borderId="0" xfId="0" applyFont="1"/>
    <xf numFmtId="0" fontId="2" fillId="0" borderId="0" xfId="0" applyFont="1" applyFill="1"/>
    <xf numFmtId="0" fontId="9" fillId="0" borderId="0" xfId="0" applyFont="1" applyFill="1"/>
    <xf numFmtId="0" fontId="2" fillId="0" borderId="0" xfId="0" applyFont="1" applyAlignment="1">
      <alignment wrapText="1"/>
    </xf>
    <xf numFmtId="166" fontId="10" fillId="0" borderId="0" xfId="0" applyNumberFormat="1" applyFont="1" applyBorder="1" applyAlignment="1">
      <alignment horizontal="center"/>
    </xf>
    <xf numFmtId="1" fontId="11" fillId="0" borderId="0" xfId="0" applyNumberFormat="1" applyFont="1" applyFill="1" applyBorder="1" applyAlignment="1">
      <alignment horizontal="center"/>
    </xf>
    <xf numFmtId="167" fontId="11" fillId="0" borderId="0" xfId="0" applyNumberFormat="1" applyFont="1" applyAlignment="1">
      <alignment horizontal="center"/>
    </xf>
    <xf numFmtId="168" fontId="11" fillId="0" borderId="0" xfId="0" applyNumberFormat="1" applyFont="1" applyAlignment="1">
      <alignment horizontal="center"/>
    </xf>
    <xf numFmtId="169" fontId="11" fillId="0" borderId="0" xfId="0" applyNumberFormat="1" applyFont="1" applyBorder="1" applyAlignment="1">
      <alignment horizontal="center"/>
    </xf>
    <xf numFmtId="0" fontId="0" fillId="0" borderId="1" xfId="0" applyBorder="1"/>
    <xf numFmtId="168" fontId="0" fillId="0" borderId="0" xfId="0" applyNumberFormat="1"/>
    <xf numFmtId="166" fontId="5" fillId="0" borderId="0" xfId="0" applyNumberFormat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center"/>
    </xf>
    <xf numFmtId="166" fontId="5" fillId="0" borderId="0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3" fontId="8" fillId="0" borderId="0" xfId="0" applyNumberFormat="1" applyFont="1" applyFill="1" applyBorder="1" applyAlignment="1">
      <alignment horizontal="center"/>
    </xf>
    <xf numFmtId="3" fontId="11" fillId="0" borderId="0" xfId="0" applyNumberFormat="1" applyFont="1" applyFill="1" applyBorder="1" applyAlignment="1">
      <alignment horizontal="center"/>
    </xf>
    <xf numFmtId="167" fontId="11" fillId="0" borderId="0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">
    <dxf>
      <numFmt numFmtId="1" formatCode="0"/>
    </dxf>
    <dxf>
      <numFmt numFmtId="1" formatCode="0"/>
    </dxf>
  </dxfs>
  <tableStyles count="0" defaultTableStyle="TableStyleMedium2" defaultPivotStyle="PivotStyleMedium9"/>
  <colors>
    <mruColors>
      <color rgb="FF9264B5"/>
      <color rgb="FF009E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Project.xlsx]Sheet2!PivotTable6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2024 Admissions vs. Historical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F75B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Historical Average</c:v>
                </c:pt>
              </c:strCache>
            </c:strRef>
          </c:tx>
          <c:spPr>
            <a:solidFill>
              <a:srgbClr val="2F75B5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May*</c:v>
                </c:pt>
              </c:strCache>
            </c:strRef>
          </c:cat>
          <c:val>
            <c:numRef>
              <c:f>Sheet2!$B$4:$B$9</c:f>
              <c:numCache>
                <c:formatCode>General</c:formatCode>
                <c:ptCount val="5"/>
                <c:pt idx="0">
                  <c:v>945.75</c:v>
                </c:pt>
                <c:pt idx="1">
                  <c:v>843.75</c:v>
                </c:pt>
                <c:pt idx="2">
                  <c:v>941.5</c:v>
                </c:pt>
                <c:pt idx="3">
                  <c:v>893</c:v>
                </c:pt>
                <c:pt idx="4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1-4D89-AA23-A4E63049564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YTD 2024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Sheet2!$A$4:$A$9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May*</c:v>
                </c:pt>
              </c:strCache>
            </c:strRef>
          </c:cat>
          <c:val>
            <c:numRef>
              <c:f>Sheet2!$C$4:$C$9</c:f>
              <c:numCache>
                <c:formatCode>General</c:formatCode>
                <c:ptCount val="5"/>
                <c:pt idx="0">
                  <c:v>909</c:v>
                </c:pt>
                <c:pt idx="1">
                  <c:v>880</c:v>
                </c:pt>
                <c:pt idx="2">
                  <c:v>906</c:v>
                </c:pt>
                <c:pt idx="3">
                  <c:v>946</c:v>
                </c:pt>
                <c:pt idx="4">
                  <c:v>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41-4D89-AA23-A4E630495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956744"/>
        <c:axId val="1555972616"/>
      </c:barChart>
      <c:catAx>
        <c:axId val="1555956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72616"/>
        <c:crosses val="autoZero"/>
        <c:auto val="1"/>
        <c:lblAlgn val="ctr"/>
        <c:lblOffset val="100"/>
        <c:noMultiLvlLbl val="0"/>
      </c:catAx>
      <c:valAx>
        <c:axId val="155597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956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Project.xlsx]Sheet1!PivotTable1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2024 Billing vs. Historical Average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F75B5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482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Historical Average </c:v>
                </c:pt>
              </c:strCache>
            </c:strRef>
          </c:tx>
          <c:spPr>
            <a:solidFill>
              <a:srgbClr val="2F75B5"/>
            </a:solidFill>
            <a:ln w="25400"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May*</c:v>
                </c:pt>
              </c:strCache>
            </c:strRef>
          </c:cat>
          <c:val>
            <c:numRef>
              <c:f>Sheet1!$B$4:$B$9</c:f>
              <c:numCache>
                <c:formatCode>"$"0.0,,"M"</c:formatCode>
                <c:ptCount val="5"/>
                <c:pt idx="0">
                  <c:v>24272831.717500001</c:v>
                </c:pt>
                <c:pt idx="1">
                  <c:v>21338642.9375</c:v>
                </c:pt>
                <c:pt idx="2">
                  <c:v>23917057.815000001</c:v>
                </c:pt>
                <c:pt idx="3">
                  <c:v>22760948.202500001</c:v>
                </c:pt>
                <c:pt idx="4">
                  <c:v>23340898.645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DB-4E2D-A3EF-1DC0D7E69447}"/>
            </c:ext>
          </c:extLst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YTD 2024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cat>
            <c:strRef>
              <c:f>Sheet1!$A$4:$A$9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May*</c:v>
                </c:pt>
              </c:strCache>
            </c:strRef>
          </c:cat>
          <c:val>
            <c:numRef>
              <c:f>Sheet1!$C$4:$C$9</c:f>
              <c:numCache>
                <c:formatCode>"$"0.0,,"M"</c:formatCode>
                <c:ptCount val="5"/>
                <c:pt idx="0">
                  <c:v>23437428.609999999</c:v>
                </c:pt>
                <c:pt idx="1">
                  <c:v>22537910.370000001</c:v>
                </c:pt>
                <c:pt idx="2">
                  <c:v>22892160.010000002</c:v>
                </c:pt>
                <c:pt idx="3">
                  <c:v>23516859.530000001</c:v>
                </c:pt>
                <c:pt idx="4">
                  <c:v>5431298.4900000002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DB-4E2D-A3EF-1DC0D7E6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3529736"/>
        <c:axId val="117982727"/>
      </c:barChart>
      <c:catAx>
        <c:axId val="2083529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82727"/>
        <c:crosses val="autoZero"/>
        <c:auto val="1"/>
        <c:lblAlgn val="ctr"/>
        <c:lblOffset val="100"/>
        <c:noMultiLvlLbl val="0"/>
      </c:catAx>
      <c:valAx>
        <c:axId val="117982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0.0,,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29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[Healthcare Data Project.xlsx]Sheet3!PivotTable1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548235"/>
          </a:solidFill>
          <a:ln>
            <a:solidFill>
              <a:srgbClr val="548235"/>
            </a:solidFill>
            <a:prstDash val="solid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YTD Admissions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909</c:v>
                </c:pt>
                <c:pt idx="1">
                  <c:v>880</c:v>
                </c:pt>
                <c:pt idx="2">
                  <c:v>906</c:v>
                </c:pt>
                <c:pt idx="3">
                  <c:v>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D3-4A77-9123-4A534405EAD4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Estimated Admissions</c:v>
                </c:pt>
              </c:strCache>
            </c:strRef>
          </c:tx>
          <c:spPr>
            <a:solidFill>
              <a:srgbClr val="548235"/>
            </a:solidFill>
            <a:ln>
              <a:solidFill>
                <a:srgbClr val="548235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Sheet3!$C$4:$C$16</c:f>
              <c:numCache>
                <c:formatCode>General</c:formatCode>
                <c:ptCount val="12"/>
                <c:pt idx="4" formatCode="0">
                  <c:v>929.33912803532007</c:v>
                </c:pt>
                <c:pt idx="5" formatCode="0">
                  <c:v>952.44701986754967</c:v>
                </c:pt>
                <c:pt idx="6" formatCode="0">
                  <c:v>968.27090231788077</c:v>
                </c:pt>
                <c:pt idx="7" formatCode="0">
                  <c:v>962.24275662251659</c:v>
                </c:pt>
                <c:pt idx="8" formatCode="0">
                  <c:v>906.73358167770425</c:v>
                </c:pt>
                <c:pt idx="9" formatCode="0">
                  <c:v>920.54808222958059</c:v>
                </c:pt>
                <c:pt idx="10" formatCode="0">
                  <c:v>901.45895419426051</c:v>
                </c:pt>
                <c:pt idx="11" formatCode="0">
                  <c:v>934.61375551876381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D3-4A77-9123-4A534405E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7266183"/>
        <c:axId val="2137268231"/>
      </c:barChart>
      <c:catAx>
        <c:axId val="2137266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7268231"/>
        <c:crosses val="autoZero"/>
        <c:auto val="1"/>
        <c:lblAlgn val="ctr"/>
        <c:lblOffset val="100"/>
        <c:noMultiLvlLbl val="0"/>
      </c:catAx>
      <c:valAx>
        <c:axId val="21372682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37266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548235"/>
            </a:solidFill>
            <a:ln w="76200">
              <a:solidFill>
                <a:srgbClr val="FFFFFF"/>
              </a:solidFill>
              <a:prstDash val="solid"/>
            </a:ln>
          </c:spPr>
          <c:dPt>
            <c:idx val="0"/>
            <c:bubble3D val="0"/>
            <c:spPr>
              <a:solidFill>
                <a:srgbClr val="305496"/>
              </a:solidFill>
              <a:ln w="762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2041-4D56-A443-2A4D2D7411A3}"/>
              </c:ext>
            </c:extLst>
          </c:dPt>
          <c:dPt>
            <c:idx val="1"/>
            <c:bubble3D val="0"/>
            <c:spPr>
              <a:solidFill>
                <a:srgbClr val="548235"/>
              </a:solidFill>
              <a:ln w="76200">
                <a:solidFill>
                  <a:srgbClr val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3-2041-4D56-A443-2A4D2D7411A3}"/>
              </c:ext>
            </c:extLst>
          </c:dPt>
          <c:cat>
            <c:strRef>
              <c:f>'Forcast Data'!O1:P1</c:f>
              <c:strCache>
                <c:ptCount val="2"/>
                <c:pt idx="0">
                  <c:v>YTD Revenue</c:v>
                </c:pt>
                <c:pt idx="1">
                  <c:v>Expected Remaining Revenue</c:v>
                </c:pt>
              </c:strCache>
            </c:strRef>
          </c:cat>
          <c:val>
            <c:numRef>
              <c:f>'Forcast Data'!O2:P2</c:f>
              <c:numCache>
                <c:formatCode>"$"0.0,,"M"</c:formatCode>
                <c:ptCount val="2"/>
                <c:pt idx="0">
                  <c:v>97815657.010000005</c:v>
                </c:pt>
                <c:pt idx="1">
                  <c:v>184328305.73390388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041-4D56-A443-2A4D2D741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Performing Hospitals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'Forcast Data'!$I$19</c:f>
              <c:strCache>
                <c:ptCount val="1"/>
                <c:pt idx="0">
                  <c:v>Billed Amount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A9D08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56A-49BF-981B-CA4E912161E7}"/>
              </c:ext>
            </c:extLst>
          </c:dPt>
          <c:dPt>
            <c:idx val="2"/>
            <c:invertIfNegative val="0"/>
            <c:bubble3D val="0"/>
            <c:spPr>
              <a:solidFill>
                <a:srgbClr val="C6E0B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56A-49BF-981B-CA4E912161E7}"/>
              </c:ext>
            </c:extLst>
          </c:dPt>
          <c:cat>
            <c:strRef>
              <c:f>'Forcast Data'!$H$20:$H$22</c:f>
              <c:strCache>
                <c:ptCount val="3"/>
                <c:pt idx="0">
                  <c:v>Smith PLC</c:v>
                </c:pt>
                <c:pt idx="1">
                  <c:v>Miller LLC</c:v>
                </c:pt>
                <c:pt idx="2">
                  <c:v>Wilson PLC</c:v>
                </c:pt>
              </c:strCache>
            </c:strRef>
          </c:cat>
          <c:val>
            <c:numRef>
              <c:f>'Forcast Data'!$I$20:$I$22</c:f>
              <c:numCache>
                <c:formatCode>"$"#,##0</c:formatCode>
                <c:ptCount val="3"/>
                <c:pt idx="0">
                  <c:v>173434.92</c:v>
                </c:pt>
                <c:pt idx="1">
                  <c:v>162093.28</c:v>
                </c:pt>
                <c:pt idx="2">
                  <c:v>160029.5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6A-49BF-981B-CA4E912161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40978183"/>
        <c:axId val="1871381511"/>
      </c:barChart>
      <c:catAx>
        <c:axId val="214097818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381511"/>
        <c:crosses val="autoZero"/>
        <c:auto val="1"/>
        <c:lblAlgn val="ctr"/>
        <c:lblOffset val="100"/>
        <c:noMultiLvlLbl val="0"/>
      </c:catAx>
      <c:valAx>
        <c:axId val="187138151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78183"/>
        <c:crossesAt val="9999999999999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Performing hospitals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'Forcast Data'!$I$19</c:f>
              <c:strCache>
                <c:ptCount val="1"/>
                <c:pt idx="0">
                  <c:v>Billed Amount</c:v>
                </c:pt>
              </c:strCache>
            </c:strRef>
          </c:tx>
          <c:spPr>
            <a:solidFill>
              <a:srgbClr val="B4C6E7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30549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77E-4680-AF5A-CA83F7268AF0}"/>
              </c:ext>
            </c:extLst>
          </c:dPt>
          <c:dPt>
            <c:idx val="1"/>
            <c:invertIfNegative val="0"/>
            <c:bubble3D val="0"/>
            <c:spPr>
              <a:solidFill>
                <a:srgbClr val="8EA9D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7E-4680-AF5A-CA83F7268AF0}"/>
              </c:ext>
            </c:extLst>
          </c:dPt>
          <c:cat>
            <c:strRef>
              <c:f>'Forcast Data'!H24:H26</c:f>
              <c:strCache>
                <c:ptCount val="3"/>
                <c:pt idx="0">
                  <c:v>Medina and Elliott Stewart</c:v>
                </c:pt>
                <c:pt idx="1">
                  <c:v>Ltd Wilson</c:v>
                </c:pt>
                <c:pt idx="2">
                  <c:v>Vaughn PLC</c:v>
                </c:pt>
              </c:strCache>
            </c:strRef>
          </c:cat>
          <c:val>
            <c:numRef>
              <c:f>'Forcast Data'!I24:I26</c:f>
              <c:numCache>
                <c:formatCode>"$"#,##0</c:formatCode>
                <c:ptCount val="3"/>
                <c:pt idx="0">
                  <c:v>-2633.24</c:v>
                </c:pt>
                <c:pt idx="1">
                  <c:v>-1520.42</c:v>
                </c:pt>
                <c:pt idx="2">
                  <c:v>-1428.84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77E-4680-AF5A-CA83F7268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140978183"/>
        <c:axId val="1871381511"/>
      </c:barChart>
      <c:catAx>
        <c:axId val="21409781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381511"/>
        <c:crosses val="autoZero"/>
        <c:auto val="1"/>
        <c:lblAlgn val="ctr"/>
        <c:lblOffset val="100"/>
        <c:noMultiLvlLbl val="0"/>
      </c:catAx>
      <c:valAx>
        <c:axId val="1871381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978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8</xdr:row>
      <xdr:rowOff>66675</xdr:rowOff>
    </xdr:from>
    <xdr:to>
      <xdr:col>2</xdr:col>
      <xdr:colOff>1962150</xdr:colOff>
      <xdr:row>21</xdr:row>
      <xdr:rowOff>238125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338C8C52-10FB-43CB-AF44-8D0A4A527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457200</xdr:colOff>
      <xdr:row>8</xdr:row>
      <xdr:rowOff>85725</xdr:rowOff>
    </xdr:from>
    <xdr:to>
      <xdr:col>5</xdr:col>
      <xdr:colOff>28575</xdr:colOff>
      <xdr:row>22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169ECDE1-A7B0-4D65-B03F-6662117E94CD}"/>
            </a:ext>
            <a:ext uri="{147F2762-F138-4A5C-976F-8EAC2B608ADB}">
              <a16:predDERef xmlns:a16="http://schemas.microsoft.com/office/drawing/2014/main" pred="{338C8C52-10FB-43CB-AF44-8D0A4A527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7</xdr:row>
      <xdr:rowOff>152400</xdr:rowOff>
    </xdr:from>
    <xdr:to>
      <xdr:col>3</xdr:col>
      <xdr:colOff>485775</xdr:colOff>
      <xdr:row>18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E9B5A-7F96-4BBA-A892-2B1810D25087}"/>
            </a:ext>
            <a:ext uri="{147F2762-F138-4A5C-976F-8EAC2B608ADB}">
              <a16:predDERef xmlns:a16="http://schemas.microsoft.com/office/drawing/2014/main" pred="{A86F31E7-0CDF-4EF9-BC27-64AB3524D9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47625</xdr:colOff>
      <xdr:row>4</xdr:row>
      <xdr:rowOff>114300</xdr:rowOff>
    </xdr:from>
    <xdr:to>
      <xdr:col>7</xdr:col>
      <xdr:colOff>333375</xdr:colOff>
      <xdr:row>16</xdr:row>
      <xdr:rowOff>76200</xdr:rowOff>
    </xdr:to>
    <xdr:graphicFrame macro="">
      <xdr:nvGraphicFramePr>
        <xdr:cNvPr id="12" name="Chart 10">
          <a:extLst>
            <a:ext uri="{FF2B5EF4-FFF2-40B4-BE49-F238E27FC236}">
              <a16:creationId xmlns:a16="http://schemas.microsoft.com/office/drawing/2014/main" id="{C591BAD0-1295-482B-A69F-D67A9F6517FF}"/>
            </a:ext>
            <a:ext uri="{147F2762-F138-4A5C-976F-8EAC2B608ADB}">
              <a16:predDERef xmlns:a16="http://schemas.microsoft.com/office/drawing/2014/main" pred="{E02E9B5A-7F96-4BBA-A892-2B1810D25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561975</xdr:colOff>
      <xdr:row>15</xdr:row>
      <xdr:rowOff>19050</xdr:rowOff>
    </xdr:from>
    <xdr:to>
      <xdr:col>5</xdr:col>
      <xdr:colOff>790575</xdr:colOff>
      <xdr:row>16</xdr:row>
      <xdr:rowOff>47625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AB68F66-830B-FECF-C491-73AFE69EA605}"/>
            </a:ext>
            <a:ext uri="{147F2762-F138-4A5C-976F-8EAC2B608ADB}">
              <a16:predDERef xmlns:a16="http://schemas.microsoft.com/office/drawing/2014/main" pred="{C591BAD0-1295-482B-A69F-D67A9F6517FF}"/>
            </a:ext>
          </a:extLst>
        </xdr:cNvPr>
        <xdr:cNvCxnSpPr>
          <a:cxnSpLocks/>
        </xdr:cNvCxnSpPr>
      </xdr:nvCxnSpPr>
      <xdr:spPr>
        <a:xfrm>
          <a:off x="8001000" y="3762375"/>
          <a:ext cx="228600" cy="219075"/>
        </a:xfrm>
        <a:prstGeom prst="line">
          <a:avLst/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161925</xdr:colOff>
      <xdr:row>16</xdr:row>
      <xdr:rowOff>66675</xdr:rowOff>
    </xdr:from>
    <xdr:to>
      <xdr:col>7</xdr:col>
      <xdr:colOff>561975</xdr:colOff>
      <xdr:row>17</xdr:row>
      <xdr:rowOff>180975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7F30366-97FA-B29E-83E1-620B9C07994E}"/>
            </a:ext>
            <a:ext uri="{147F2762-F138-4A5C-976F-8EAC2B608ADB}">
              <a16:predDERef xmlns:a16="http://schemas.microsoft.com/office/drawing/2014/main" pred="{FAB68F66-830B-FECF-C491-73AFE69EA605}"/>
            </a:ext>
          </a:extLst>
        </xdr:cNvPr>
        <xdr:cNvSpPr txBox="1"/>
      </xdr:nvSpPr>
      <xdr:spPr>
        <a:xfrm>
          <a:off x="7600950" y="4000500"/>
          <a:ext cx="2857500" cy="304800"/>
        </a:xfrm>
        <a:prstGeom prst="rect">
          <a:avLst/>
        </a:prstGeom>
        <a:noFill/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000"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Expected remaining revenue </a:t>
          </a:r>
          <a:r>
            <a:rPr lang="en-US" sz="1000" b="1">
              <a:solidFill>
                <a:srgbClr val="9264B5"/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$184.3 M</a:t>
          </a:r>
        </a:p>
      </xdr:txBody>
    </xdr:sp>
    <xdr:clientData/>
  </xdr:twoCellAnchor>
  <xdr:twoCellAnchor>
    <xdr:from>
      <xdr:col>5</xdr:col>
      <xdr:colOff>990600</xdr:colOff>
      <xdr:row>5</xdr:row>
      <xdr:rowOff>142875</xdr:rowOff>
    </xdr:from>
    <xdr:to>
      <xdr:col>5</xdr:col>
      <xdr:colOff>1209675</xdr:colOff>
      <xdr:row>6</xdr:row>
      <xdr:rowOff>95250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BA273DE-C5BD-4646-A026-7FE431ED14BA}"/>
            </a:ext>
            <a:ext uri="{147F2762-F138-4A5C-976F-8EAC2B608ADB}">
              <a16:predDERef xmlns:a16="http://schemas.microsoft.com/office/drawing/2014/main" pred="{07F30366-97FA-B29E-83E1-620B9C07994E}"/>
            </a:ext>
          </a:extLst>
        </xdr:cNvPr>
        <xdr:cNvCxnSpPr>
          <a:cxnSpLocks/>
        </xdr:cNvCxnSpPr>
      </xdr:nvCxnSpPr>
      <xdr:spPr>
        <a:xfrm flipV="1">
          <a:off x="8429625" y="1352550"/>
          <a:ext cx="219075" cy="314325"/>
        </a:xfrm>
        <a:prstGeom prst="line">
          <a:avLst/>
        </a:prstGeom>
        <a:ln w="19050">
          <a:solidFill>
            <a:schemeClr val="bg1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733425</xdr:colOff>
      <xdr:row>4</xdr:row>
      <xdr:rowOff>114300</xdr:rowOff>
    </xdr:from>
    <xdr:to>
      <xdr:col>7</xdr:col>
      <xdr:colOff>1133475</xdr:colOff>
      <xdr:row>6</xdr:row>
      <xdr:rowOff>95250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F353B7F-5BC2-49A9-B8F0-026CC9BF11A0}"/>
            </a:ext>
            <a:ext uri="{147F2762-F138-4A5C-976F-8EAC2B608ADB}">
              <a16:predDERef xmlns:a16="http://schemas.microsoft.com/office/drawing/2014/main" pred="{4BA273DE-C5BD-4646-A026-7FE431ED14BA}"/>
            </a:ext>
          </a:extLst>
        </xdr:cNvPr>
        <xdr:cNvSpPr txBox="1"/>
      </xdr:nvSpPr>
      <xdr:spPr>
        <a:xfrm>
          <a:off x="8172450" y="1085850"/>
          <a:ext cx="2857500" cy="361950"/>
        </a:xfrm>
        <a:prstGeom prst="rect">
          <a:avLst/>
        </a:prstGeom>
        <a:noFill/>
        <a:ln w="9525" cmpd="sng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000" b="0">
              <a:solidFill>
                <a:schemeClr val="tx1"/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YTD Revenue </a:t>
          </a:r>
          <a:r>
            <a:rPr lang="en-US" sz="1000" b="1">
              <a:solidFill>
                <a:srgbClr val="9264B5"/>
              </a:solidFill>
              <a:latin typeface="Calibri Light" panose="020F0302020204030204" pitchFamily="34" charset="0"/>
              <a:ea typeface="Calibri Light" panose="020F0302020204030204" pitchFamily="34" charset="0"/>
              <a:cs typeface="Calibri Light" panose="020F0302020204030204" pitchFamily="34" charset="0"/>
            </a:rPr>
            <a:t>$97.8 M</a:t>
          </a:r>
        </a:p>
      </xdr:txBody>
    </xdr:sp>
    <xdr:clientData/>
  </xdr:twoCellAnchor>
  <xdr:twoCellAnchor>
    <xdr:from>
      <xdr:col>1</xdr:col>
      <xdr:colOff>438150</xdr:colOff>
      <xdr:row>19</xdr:row>
      <xdr:rowOff>161925</xdr:rowOff>
    </xdr:from>
    <xdr:to>
      <xdr:col>2</xdr:col>
      <xdr:colOff>1647825</xdr:colOff>
      <xdr:row>27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082D5D2-450D-435D-8832-A87054B718AC}"/>
            </a:ext>
            <a:ext uri="{147F2762-F138-4A5C-976F-8EAC2B608ADB}">
              <a16:predDERef xmlns:a16="http://schemas.microsoft.com/office/drawing/2014/main" pred="{EF353B7F-5BC2-49A9-B8F0-026CC9BF1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190500</xdr:colOff>
      <xdr:row>19</xdr:row>
      <xdr:rowOff>171450</xdr:rowOff>
    </xdr:from>
    <xdr:to>
      <xdr:col>7</xdr:col>
      <xdr:colOff>447675</xdr:colOff>
      <xdr:row>27</xdr:row>
      <xdr:rowOff>95250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8815ADC-3EBB-4F96-8E66-D3A120D0BD31}"/>
            </a:ext>
            <a:ext uri="{147F2762-F138-4A5C-976F-8EAC2B608ADB}">
              <a16:predDERef xmlns:a16="http://schemas.microsoft.com/office/drawing/2014/main" pred="{3082D5D2-450D-435D-8832-A87054B718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4.895297222225" createdVersion="8" refreshedVersion="8" minRefreshableVersion="3" recordCount="5" xr:uid="{55AD919C-E9C8-4D41-BA28-B19ED8523B7B}">
  <cacheSource type="worksheet">
    <worksheetSource ref="B6:D11" sheet="YTD Data"/>
  </cacheSource>
  <cacheFields count="3">
    <cacheField name="Month" numFmtId="0">
      <sharedItems containsMixedTypes="1" containsNumber="1" containsInteger="1" minValue="1" maxValue="5" count="10">
        <s v="January"/>
        <s v="February"/>
        <s v="March"/>
        <s v="April"/>
        <s v="May"/>
        <n v="1" u="1"/>
        <n v="2" u="1"/>
        <n v="3" u="1"/>
        <n v="4" u="1"/>
        <n v="5" u="1"/>
      </sharedItems>
    </cacheField>
    <cacheField name="Historic Average" numFmtId="0">
      <sharedItems containsSemiMixedTypes="0" containsString="0" containsNumber="1" minValue="843.75" maxValue="945.75"/>
    </cacheField>
    <cacheField name="2024" numFmtId="0">
      <sharedItems containsSemiMixedTypes="0" containsString="0" containsNumber="1" containsInteger="1" minValue="213" maxValue="94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4.911420023149" createdVersion="8" refreshedVersion="8" minRefreshableVersion="3" recordCount="5" xr:uid="{F435A520-5153-4934-9A16-C1ABC1591FE6}">
  <cacheSource type="worksheet">
    <worksheetSource ref="G6:I11" sheet="YTD Data"/>
  </cacheSource>
  <cacheFields count="3">
    <cacheField name="Month" numFmtId="0">
      <sharedItems count="5">
        <s v="January"/>
        <s v="February"/>
        <s v="March"/>
        <s v="April"/>
        <s v="May"/>
      </sharedItems>
    </cacheField>
    <cacheField name="Historic Average" numFmtId="167">
      <sharedItems containsSemiMixedTypes="0" containsString="0" containsNumber="1" minValue="21338642.9375" maxValue="24272831.717500001"/>
    </cacheField>
    <cacheField name="2024" numFmtId="167">
      <sharedItems containsSemiMixedTypes="0" containsString="0" containsNumber="1" minValue="5431298.4900000002" maxValue="23516859.53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45.838928935184" createdVersion="8" refreshedVersion="8" minRefreshableVersion="3" recordCount="12" xr:uid="{823207C4-ADC6-42F6-9CFD-0CD002EFEF49}">
  <cacheSource type="worksheet">
    <worksheetSource ref="F1:H13" sheet="Forcast Data"/>
  </cacheSource>
  <cacheFields count="3"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Admissions" numFmtId="0">
      <sharedItems containsString="0" containsBlank="1" containsNumber="1" containsInteger="1" minValue="880" maxValue="946"/>
    </cacheField>
    <cacheField name="Est adm" numFmtId="2">
      <sharedItems containsString="0" containsBlank="1" containsNumber="1" minValue="901.45895419426051" maxValue="968.27090231788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945.75"/>
    <n v="909"/>
  </r>
  <r>
    <x v="1"/>
    <n v="843.75"/>
    <n v="880"/>
  </r>
  <r>
    <x v="2"/>
    <n v="941.5"/>
    <n v="906"/>
  </r>
  <r>
    <x v="3"/>
    <n v="893"/>
    <n v="946"/>
  </r>
  <r>
    <x v="4"/>
    <n v="925"/>
    <n v="2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24272831.717500001"/>
    <n v="23437428.609999999"/>
  </r>
  <r>
    <x v="1"/>
    <n v="21338642.9375"/>
    <n v="22537910.370000001"/>
  </r>
  <r>
    <x v="2"/>
    <n v="23917057.815000001"/>
    <n v="22892160.010000002"/>
  </r>
  <r>
    <x v="3"/>
    <n v="22760948.202500001"/>
    <n v="23516859.530000001"/>
  </r>
  <r>
    <x v="4"/>
    <n v="23340898.645"/>
    <n v="5431298.490000000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909"/>
    <m/>
  </r>
  <r>
    <x v="1"/>
    <n v="880"/>
    <m/>
  </r>
  <r>
    <x v="2"/>
    <n v="906"/>
    <m/>
  </r>
  <r>
    <x v="3"/>
    <n v="946"/>
    <m/>
  </r>
  <r>
    <x v="4"/>
    <m/>
    <n v="929.33912803532007"/>
  </r>
  <r>
    <x v="5"/>
    <m/>
    <n v="952.44701986754967"/>
  </r>
  <r>
    <x v="6"/>
    <m/>
    <n v="968.27090231788077"/>
  </r>
  <r>
    <x v="7"/>
    <m/>
    <n v="962.24275662251659"/>
  </r>
  <r>
    <x v="8"/>
    <m/>
    <n v="906.73358167770425"/>
  </r>
  <r>
    <x v="9"/>
    <m/>
    <n v="920.54808222958059"/>
  </r>
  <r>
    <x v="10"/>
    <m/>
    <n v="901.45895419426051"/>
  </r>
  <r>
    <x v="11"/>
    <m/>
    <n v="934.613755518763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B9552-B933-41AB-8A77-08302AEB8876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C16" firstHeaderRow="0" firstDataRow="1" firstDataCol="1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YTD Admissions" fld="1" baseField="0" baseItem="0"/>
    <dataField name="Estimated Admissions" fld="2" baseField="0" baseItem="0"/>
  </dataFields>
  <formats count="2">
    <format dxfId="0">
      <pivotArea outline="0" fieldPosition="0">
        <references count="2">
          <reference field="4294967294" count="1" selected="0">
            <x v="1"/>
          </reference>
          <reference field="0" count="8" selected="0">
            <x v="4"/>
            <x v="5"/>
            <x v="6"/>
            <x v="7"/>
            <x v="8"/>
            <x v="9"/>
            <x v="10"/>
            <x v="11"/>
          </reference>
        </references>
      </pivotArea>
    </format>
    <format dxfId="1">
      <pivotArea field="0" grandRow="1" outline="0" axis="axisRow" fieldPosition="0">
        <references count="1">
          <reference field="4294967294" count="1" selected="0">
            <x v="1"/>
          </reference>
        </references>
      </pivotArea>
    </format>
  </formats>
  <chartFormats count="1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C6F53-9EF3-4FC8-B0C3-4F46AA5AA908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C9" firstHeaderRow="0" firstDataRow="1" firstDataCol="1"/>
  <pivotFields count="3">
    <pivotField axis="axisRow" compact="0" outline="0" showAll="0">
      <items count="6">
        <item x="0"/>
        <item x="1"/>
        <item x="2"/>
        <item x="3"/>
        <item n="May*" x="4"/>
        <item t="default"/>
      </items>
    </pivotField>
    <pivotField dataField="1" compact="0" numFmtId="167" outline="0" showAll="0"/>
    <pivotField dataField="1" compact="0" numFmtId="167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Historical Average " fld="1" baseField="0" baseItem="0" numFmtId="167"/>
    <dataField name="YTD 2024" fld="2" baseField="0" baseItem="0" numFmtId="167"/>
  </dataFields>
  <chartFormats count="8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61FCB-E8E1-4D94-AADD-E9F7C8CA457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8">
  <location ref="A3:C9" firstHeaderRow="0" firstDataRow="1" firstDataCol="1"/>
  <pivotFields count="3">
    <pivotField axis="axisRow" compact="0" outline="0" showAll="0">
      <items count="11">
        <item m="1" x="5"/>
        <item m="1" x="6"/>
        <item m="1" x="7"/>
        <item m="1" x="8"/>
        <item m="1" x="9"/>
        <item x="0"/>
        <item x="1"/>
        <item x="2"/>
        <item x="3"/>
        <item n="May*" x="4"/>
        <item t="default"/>
      </items>
    </pivotField>
    <pivotField dataField="1" compact="0" outline="0" showAll="0"/>
    <pivotField dataField="1" compact="0" outline="0" showAll="0"/>
  </pivotFields>
  <rowFields count="1">
    <field x="0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Historical Average" fld="1" baseField="0" baseItem="0"/>
    <dataField name="YTD 2024" fld="2" baseField="0" baseItem="0"/>
  </dataFields>
  <chartFormats count="8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30D21-2CCD-4030-B3A7-0B2C046EDC49}">
  <sheetPr>
    <pageSetUpPr fitToPage="1"/>
  </sheetPr>
  <dimension ref="B1:H24"/>
  <sheetViews>
    <sheetView showGridLines="0" tabSelected="1" workbookViewId="0">
      <selection activeCell="B3" sqref="B3:E3"/>
    </sheetView>
  </sheetViews>
  <sheetFormatPr defaultColWidth="34" defaultRowHeight="15"/>
  <cols>
    <col min="1" max="1" width="9.28515625" style="11" customWidth="1"/>
    <col min="2" max="16384" width="34" style="11"/>
  </cols>
  <sheetData>
    <row r="1" spans="2:8" ht="31.5" customHeight="1"/>
    <row r="2" spans="2:8" ht="28.5" customHeight="1">
      <c r="B2" s="34" t="s">
        <v>0</v>
      </c>
      <c r="C2" s="34"/>
      <c r="D2" s="34"/>
      <c r="E2" s="34"/>
      <c r="F2" s="10"/>
      <c r="G2" s="10"/>
      <c r="H2" s="19"/>
    </row>
    <row r="3" spans="2:8" ht="27" customHeight="1">
      <c r="B3" s="38" t="s">
        <v>1</v>
      </c>
      <c r="C3" s="38"/>
      <c r="D3" s="38"/>
      <c r="E3" s="38"/>
      <c r="F3" s="10"/>
      <c r="G3" s="10"/>
      <c r="H3" s="19"/>
    </row>
    <row r="4" spans="2:8" ht="23.25" customHeight="1">
      <c r="B4" s="21"/>
      <c r="C4" s="12"/>
    </row>
    <row r="5" spans="2:8" ht="19.5">
      <c r="B5" s="32" t="s">
        <v>2</v>
      </c>
      <c r="C5" s="13" t="s">
        <v>3</v>
      </c>
      <c r="D5" s="13" t="s">
        <v>4</v>
      </c>
      <c r="E5" s="14" t="s">
        <v>5</v>
      </c>
      <c r="F5" s="14"/>
    </row>
    <row r="6" spans="2:8" ht="28.5">
      <c r="B6" s="25">
        <f>'YTD Data'!$A$2</f>
        <v>3854</v>
      </c>
      <c r="C6" s="26">
        <f>'YTD Data'!$B$2</f>
        <v>97815657.010000005</v>
      </c>
      <c r="D6" s="27">
        <f>'YTD Data'!$C$2</f>
        <v>25380.2950207576</v>
      </c>
      <c r="E6" s="28">
        <f>'YTD Data'!$D$2</f>
        <v>15.767773741567201</v>
      </c>
      <c r="F6" s="15"/>
      <c r="H6" s="20"/>
    </row>
    <row r="7" spans="2:8" ht="15.75">
      <c r="B7" s="31">
        <f>'YTD Data'!$A$4</f>
        <v>1.1283127787982157E-2</v>
      </c>
      <c r="C7" s="16">
        <f>'YTD Data'!$B$4</f>
        <v>1.5316618598386593E-2</v>
      </c>
      <c r="D7" s="16">
        <f>'YTD Data'!$C$4</f>
        <v>3.9884881884933703E-3</v>
      </c>
      <c r="E7" s="17">
        <f>'YTD Data'!$D$4</f>
        <v>1.1479501912385398E-2</v>
      </c>
      <c r="F7" s="24"/>
    </row>
    <row r="8" spans="2:8" ht="15.75">
      <c r="B8" s="22"/>
      <c r="C8" s="20"/>
      <c r="D8" s="20"/>
      <c r="E8" s="20"/>
    </row>
    <row r="22" spans="5:5" ht="19.5" customHeight="1"/>
    <row r="23" spans="5:5">
      <c r="E23" s="11" t="s">
        <v>6</v>
      </c>
    </row>
    <row r="24" spans="5:5" ht="33">
      <c r="E24" s="23" t="s">
        <v>7</v>
      </c>
    </row>
  </sheetData>
  <mergeCells count="2">
    <mergeCell ref="B2:E2"/>
    <mergeCell ref="B3:E3"/>
  </mergeCells>
  <pageMargins left="1" right="1" top="1" bottom="1" header="0.5" footer="0.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9"/>
  <sheetViews>
    <sheetView showGridLines="0" showRowColHeaders="0" workbookViewId="0">
      <selection activeCell="A9" sqref="A9"/>
    </sheetView>
  </sheetViews>
  <sheetFormatPr defaultColWidth="18.42578125" defaultRowHeight="15"/>
  <cols>
    <col min="1" max="1" width="12.7109375" style="8" customWidth="1"/>
    <col min="2" max="2" width="50.42578125" customWidth="1"/>
    <col min="3" max="3" width="24.85546875" customWidth="1"/>
    <col min="4" max="4" width="24" customWidth="1"/>
    <col min="8" max="8" width="25.28515625" customWidth="1"/>
  </cols>
  <sheetData>
    <row r="2" spans="2:8" ht="31.5">
      <c r="B2" s="34" t="s">
        <v>8</v>
      </c>
      <c r="C2" s="34"/>
      <c r="D2" s="34"/>
      <c r="E2" s="34"/>
      <c r="F2" s="34"/>
      <c r="G2" s="34"/>
      <c r="H2" s="8"/>
    </row>
    <row r="3" spans="2:8">
      <c r="B3" s="4"/>
      <c r="C3" s="4"/>
      <c r="D3" s="4"/>
      <c r="E3" s="18"/>
      <c r="F3" s="18"/>
      <c r="G3" s="18"/>
      <c r="H3" s="8"/>
    </row>
    <row r="5" spans="2:8" ht="18.75">
      <c r="B5" s="35" t="s">
        <v>9</v>
      </c>
      <c r="C5" s="35"/>
      <c r="D5" s="8"/>
      <c r="E5" s="8"/>
      <c r="F5" s="8"/>
      <c r="G5" s="8"/>
      <c r="H5" s="8"/>
    </row>
    <row r="6" spans="2:8" ht="28.5">
      <c r="B6" s="36">
        <f>'Forcast Data'!N2</f>
        <v>11116.654180463576</v>
      </c>
      <c r="C6" s="36"/>
      <c r="D6" s="8"/>
      <c r="E6" s="8"/>
      <c r="F6" s="8"/>
      <c r="G6" s="8"/>
      <c r="H6" s="8"/>
    </row>
    <row r="7" spans="2:8" ht="18.75">
      <c r="B7" s="33">
        <f>'Forcast Data'!$C$21</f>
        <v>8.2218556560471855E-3</v>
      </c>
      <c r="C7" s="33"/>
      <c r="D7" s="8"/>
      <c r="E7" s="35"/>
      <c r="F7" s="35"/>
      <c r="G7" s="8"/>
      <c r="H7" s="8"/>
    </row>
    <row r="8" spans="2:8" ht="18.75">
      <c r="B8" s="8"/>
      <c r="C8" s="8"/>
      <c r="D8" s="8"/>
      <c r="E8" s="35"/>
      <c r="F8" s="35"/>
      <c r="G8" s="8"/>
      <c r="H8" s="8"/>
    </row>
    <row r="9" spans="2:8" ht="18.75">
      <c r="B9" s="8"/>
      <c r="C9" s="8"/>
      <c r="D9" s="8"/>
      <c r="E9" s="35" t="s">
        <v>10</v>
      </c>
      <c r="F9" s="35"/>
      <c r="G9" s="8"/>
      <c r="H9" s="8"/>
    </row>
    <row r="10" spans="2:8" ht="18.75">
      <c r="B10" s="8"/>
      <c r="C10" s="8"/>
      <c r="D10" s="8"/>
      <c r="E10" s="35" t="s">
        <v>11</v>
      </c>
      <c r="F10" s="35"/>
      <c r="G10" s="8"/>
      <c r="H10" s="8"/>
    </row>
    <row r="11" spans="2:8" ht="28.5">
      <c r="B11" s="8"/>
      <c r="C11" s="8"/>
      <c r="D11" s="8"/>
      <c r="E11" s="37">
        <f>'Forcast Data'!Q2</f>
        <v>282143962.74390388</v>
      </c>
      <c r="F11" s="37"/>
      <c r="G11" s="8"/>
      <c r="H11" s="8"/>
    </row>
    <row r="12" spans="2:8" ht="15.75">
      <c r="B12" s="8"/>
      <c r="C12" s="8"/>
      <c r="D12" s="8"/>
      <c r="E12" s="33">
        <f>'Forcast Data'!E21</f>
        <v>5.9121859084821922E-4</v>
      </c>
      <c r="F12" s="33"/>
      <c r="G12" s="8"/>
      <c r="H12" s="8"/>
    </row>
    <row r="13" spans="2:8" ht="15.75">
      <c r="B13" s="8"/>
      <c r="C13" s="8"/>
      <c r="D13" s="8"/>
      <c r="E13" s="33"/>
      <c r="F13" s="33"/>
      <c r="G13" s="8"/>
      <c r="H13" s="8"/>
    </row>
    <row r="15" spans="2:8" ht="21" customHeight="1">
      <c r="B15" s="8"/>
      <c r="C15" s="8"/>
      <c r="D15" s="8"/>
      <c r="E15" s="8"/>
      <c r="F15" s="8"/>
      <c r="G15" s="8"/>
      <c r="H15" s="8"/>
    </row>
    <row r="16" spans="2:8">
      <c r="B16" s="8"/>
      <c r="C16" s="8"/>
      <c r="D16" s="8"/>
      <c r="E16" s="8"/>
      <c r="F16" s="8"/>
      <c r="G16" s="8"/>
      <c r="H16" s="8"/>
    </row>
    <row r="17" spans="2:8">
      <c r="B17" s="8"/>
      <c r="C17" s="8"/>
      <c r="D17" s="8"/>
      <c r="E17" s="8"/>
      <c r="F17" s="8"/>
      <c r="G17" s="8"/>
      <c r="H17" s="8"/>
    </row>
    <row r="18" spans="2:8">
      <c r="B18" s="8"/>
      <c r="C18" s="8"/>
      <c r="D18" s="8"/>
      <c r="E18" s="8"/>
      <c r="F18" s="8"/>
      <c r="G18" s="8"/>
      <c r="H18" s="8"/>
    </row>
    <row r="19" spans="2:8" ht="26.25" customHeight="1">
      <c r="B19" s="8"/>
      <c r="C19" s="8"/>
      <c r="D19" s="8"/>
      <c r="E19" s="8"/>
      <c r="F19" s="8"/>
      <c r="G19" s="8"/>
      <c r="H19" s="8"/>
    </row>
  </sheetData>
  <mergeCells count="11">
    <mergeCell ref="E13:F13"/>
    <mergeCell ref="B2:G2"/>
    <mergeCell ref="B5:C5"/>
    <mergeCell ref="B6:C6"/>
    <mergeCell ref="B7:C7"/>
    <mergeCell ref="E8:F8"/>
    <mergeCell ref="E9:F9"/>
    <mergeCell ref="E10:F10"/>
    <mergeCell ref="E7:F7"/>
    <mergeCell ref="E11:F11"/>
    <mergeCell ref="E12:F1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779A9-18A7-4AFB-8D9E-51ECBA2E42E9}">
  <dimension ref="A1:I31"/>
  <sheetViews>
    <sheetView workbookViewId="0">
      <selection activeCell="D4" sqref="D4"/>
    </sheetView>
  </sheetViews>
  <sheetFormatPr defaultRowHeight="15"/>
  <cols>
    <col min="2" max="2" width="14.85546875" bestFit="1" customWidth="1"/>
    <col min="3" max="3" width="12.5703125" bestFit="1" customWidth="1"/>
    <col min="4" max="4" width="9.28515625" bestFit="1" customWidth="1"/>
    <col min="8" max="9" width="14.85546875" bestFit="1" customWidth="1"/>
  </cols>
  <sheetData>
    <row r="1" spans="1:9">
      <c r="A1" s="1" t="s">
        <v>2</v>
      </c>
      <c r="B1" s="8" t="s">
        <v>3</v>
      </c>
      <c r="C1" s="8" t="s">
        <v>4</v>
      </c>
      <c r="D1" s="8" t="s">
        <v>12</v>
      </c>
      <c r="E1" s="8" t="s">
        <v>13</v>
      </c>
      <c r="F1" s="8"/>
      <c r="G1" s="8"/>
      <c r="H1" s="8"/>
      <c r="I1" s="8"/>
    </row>
    <row r="2" spans="1:9">
      <c r="A2" s="4">
        <v>3854</v>
      </c>
      <c r="B2" s="2">
        <v>97815657.010000005</v>
      </c>
      <c r="C2" s="2">
        <v>25380.2950207576</v>
      </c>
      <c r="D2" s="3">
        <v>15.767773741567201</v>
      </c>
      <c r="E2" s="4">
        <v>2024</v>
      </c>
      <c r="F2" s="8"/>
      <c r="G2" s="8"/>
      <c r="H2" s="8"/>
      <c r="I2" s="8"/>
    </row>
    <row r="3" spans="1:9">
      <c r="A3" s="8">
        <v>3811</v>
      </c>
      <c r="B3" s="2">
        <v>96340053.159999996</v>
      </c>
      <c r="C3" s="2">
        <v>25279.468160587701</v>
      </c>
      <c r="D3" s="3">
        <v>15.5888218315402</v>
      </c>
      <c r="E3" s="8">
        <v>2023</v>
      </c>
      <c r="F3" s="8"/>
      <c r="G3" s="8"/>
      <c r="H3" s="8"/>
      <c r="I3" s="8"/>
    </row>
    <row r="4" spans="1:9">
      <c r="A4" s="6">
        <f>(A2-A3)/A3</f>
        <v>1.1283127787982157E-2</v>
      </c>
      <c r="B4" s="6">
        <f t="shared" ref="B4:D4" si="0">(B2-B3)/B3</f>
        <v>1.5316618598386593E-2</v>
      </c>
      <c r="C4" s="6">
        <f t="shared" si="0"/>
        <v>3.9884881884933703E-3</v>
      </c>
      <c r="D4" s="6">
        <f>(D2-D3)/D3</f>
        <v>1.1479501912385398E-2</v>
      </c>
      <c r="E4" s="8"/>
      <c r="F4" s="8"/>
      <c r="G4" s="8"/>
      <c r="H4" s="8"/>
      <c r="I4" s="8"/>
    </row>
    <row r="6" spans="1:9">
      <c r="A6" s="8" t="s">
        <v>2</v>
      </c>
      <c r="B6" s="8" t="s">
        <v>14</v>
      </c>
      <c r="C6" s="8" t="s">
        <v>15</v>
      </c>
      <c r="D6" s="8">
        <v>2024</v>
      </c>
      <c r="E6" s="8"/>
      <c r="F6" s="8" t="s">
        <v>16</v>
      </c>
      <c r="G6" s="8" t="s">
        <v>14</v>
      </c>
      <c r="H6" s="8" t="s">
        <v>15</v>
      </c>
      <c r="I6" s="8">
        <v>2024</v>
      </c>
    </row>
    <row r="7" spans="1:9">
      <c r="A7" s="8"/>
      <c r="B7" s="8" t="s">
        <v>17</v>
      </c>
      <c r="C7" s="8">
        <v>945.75</v>
      </c>
      <c r="D7" s="8">
        <v>909</v>
      </c>
      <c r="E7" s="8"/>
      <c r="F7" s="8"/>
      <c r="G7" s="8" t="s">
        <v>17</v>
      </c>
      <c r="H7" s="18">
        <v>24272831.717500001</v>
      </c>
      <c r="I7" s="18">
        <v>23437428.609999999</v>
      </c>
    </row>
    <row r="8" spans="1:9">
      <c r="A8" s="8"/>
      <c r="B8" s="8" t="s">
        <v>18</v>
      </c>
      <c r="C8" s="8">
        <v>843.75</v>
      </c>
      <c r="D8" s="8">
        <v>880</v>
      </c>
      <c r="E8" s="8"/>
      <c r="F8" s="8"/>
      <c r="G8" s="8" t="s">
        <v>18</v>
      </c>
      <c r="H8" s="18">
        <v>21338642.9375</v>
      </c>
      <c r="I8" s="18">
        <v>22537910.370000001</v>
      </c>
    </row>
    <row r="9" spans="1:9">
      <c r="A9" s="8"/>
      <c r="B9" s="8" t="s">
        <v>19</v>
      </c>
      <c r="C9" s="8">
        <v>941.5</v>
      </c>
      <c r="D9" s="8">
        <v>906</v>
      </c>
      <c r="E9" s="8"/>
      <c r="F9" s="8"/>
      <c r="G9" s="8" t="s">
        <v>19</v>
      </c>
      <c r="H9" s="18">
        <v>23917057.815000001</v>
      </c>
      <c r="I9" s="18">
        <v>22892160.010000002</v>
      </c>
    </row>
    <row r="10" spans="1:9">
      <c r="A10" s="8"/>
      <c r="B10" s="8" t="s">
        <v>20</v>
      </c>
      <c r="C10" s="8">
        <v>893</v>
      </c>
      <c r="D10" s="8">
        <v>946</v>
      </c>
      <c r="E10" s="8"/>
      <c r="F10" s="8"/>
      <c r="G10" s="8" t="s">
        <v>20</v>
      </c>
      <c r="H10" s="18">
        <v>22760948.202500001</v>
      </c>
      <c r="I10" s="18">
        <v>23516859.530000001</v>
      </c>
    </row>
    <row r="11" spans="1:9">
      <c r="A11" s="8"/>
      <c r="B11" s="8" t="s">
        <v>21</v>
      </c>
      <c r="C11" s="8">
        <v>925</v>
      </c>
      <c r="D11" s="8">
        <v>213</v>
      </c>
      <c r="E11" s="8"/>
      <c r="F11" s="8"/>
      <c r="G11" s="8" t="s">
        <v>21</v>
      </c>
      <c r="H11" s="18">
        <v>23340898.645</v>
      </c>
      <c r="I11" s="18">
        <v>5431298.4900000002</v>
      </c>
    </row>
    <row r="12" spans="1:9">
      <c r="A12" s="8"/>
      <c r="B12" s="8"/>
      <c r="C12" s="8"/>
      <c r="D12" s="8"/>
      <c r="E12" s="8"/>
      <c r="F12" s="8"/>
      <c r="G12" s="8"/>
      <c r="H12" s="8"/>
      <c r="I12" s="8"/>
    </row>
    <row r="13" spans="1:9">
      <c r="A13" s="8"/>
      <c r="B13" s="8"/>
      <c r="C13" s="8"/>
      <c r="D13" s="8"/>
      <c r="E13" s="8"/>
      <c r="F13" s="8"/>
      <c r="G13" s="8"/>
      <c r="H13" s="8"/>
      <c r="I13" s="8"/>
    </row>
    <row r="14" spans="1:9">
      <c r="A14" s="8"/>
      <c r="B14" s="8"/>
      <c r="C14" s="8"/>
      <c r="D14" s="8"/>
      <c r="E14" s="8"/>
      <c r="F14" s="8"/>
      <c r="G14" s="8"/>
      <c r="H14" s="8"/>
      <c r="I14" s="8"/>
    </row>
    <row r="15" spans="1:9">
      <c r="A15" s="8"/>
      <c r="B15" s="8"/>
      <c r="C15" s="8"/>
      <c r="D15" s="8"/>
      <c r="E15" s="8"/>
      <c r="F15" s="8"/>
      <c r="G15" s="8"/>
      <c r="H15" s="8"/>
      <c r="I15" s="8"/>
    </row>
    <row r="16" spans="1:9">
      <c r="A16" s="8"/>
      <c r="B16" s="8"/>
      <c r="C16" s="8"/>
      <c r="D16" s="8"/>
      <c r="E16" s="8"/>
      <c r="F16" s="8"/>
      <c r="G16" s="8"/>
      <c r="H16" s="8"/>
      <c r="I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  <row r="21" spans="1:3">
      <c r="A21" s="8"/>
      <c r="B21" s="8"/>
      <c r="C21" s="8"/>
    </row>
    <row r="22" spans="1:3">
      <c r="A22" s="8"/>
      <c r="B22" s="8"/>
      <c r="C22" s="8"/>
    </row>
    <row r="23" spans="1:3">
      <c r="A23" s="8"/>
      <c r="B23" s="8"/>
      <c r="C23" s="8"/>
    </row>
    <row r="24" spans="1:3">
      <c r="A24" s="8"/>
      <c r="B24" s="8"/>
      <c r="C24" s="8"/>
    </row>
    <row r="25" spans="1:3">
      <c r="A25" s="8"/>
      <c r="B25" s="8"/>
      <c r="C25" s="8"/>
    </row>
    <row r="26" spans="1:3">
      <c r="A26" s="8"/>
      <c r="B26" s="8"/>
      <c r="C26" s="8"/>
    </row>
    <row r="27" spans="1:3">
      <c r="A27" s="8"/>
      <c r="B27" s="8"/>
      <c r="C27" s="8"/>
    </row>
    <row r="28" spans="1:3">
      <c r="A28" s="8"/>
      <c r="B28" s="8"/>
      <c r="C28" s="8"/>
    </row>
    <row r="29" spans="1:3">
      <c r="A29" s="8"/>
      <c r="B29" s="8"/>
      <c r="C29" s="8"/>
    </row>
    <row r="30" spans="1:3">
      <c r="A30" s="8"/>
      <c r="B30" s="8"/>
      <c r="C30" s="8"/>
    </row>
    <row r="31" spans="1:3">
      <c r="A31" s="8"/>
      <c r="B31" s="8"/>
      <c r="C31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06B7-820B-4AAF-BF9E-2DE85F64F6F9}">
  <dimension ref="A1:Q426"/>
  <sheetViews>
    <sheetView topLeftCell="A13" workbookViewId="0">
      <selection activeCell="C26" sqref="C26"/>
    </sheetView>
  </sheetViews>
  <sheetFormatPr defaultRowHeight="15"/>
  <cols>
    <col min="8" max="8" width="9.140625" customWidth="1"/>
    <col min="9" max="9" width="10.85546875" customWidth="1"/>
    <col min="10" max="10" width="9.85546875" bestFit="1" customWidth="1"/>
    <col min="12" max="12" width="12.5703125" bestFit="1" customWidth="1"/>
  </cols>
  <sheetData>
    <row r="1" spans="1:17">
      <c r="A1" s="8" t="s">
        <v>22</v>
      </c>
      <c r="B1" s="8" t="s">
        <v>14</v>
      </c>
      <c r="C1" s="8" t="s">
        <v>2</v>
      </c>
      <c r="D1" s="8"/>
      <c r="E1" s="29">
        <v>2024</v>
      </c>
      <c r="F1" s="8" t="s">
        <v>14</v>
      </c>
      <c r="G1" s="8" t="s">
        <v>2</v>
      </c>
      <c r="H1" s="8" t="s">
        <v>23</v>
      </c>
      <c r="I1" s="8" t="s">
        <v>24</v>
      </c>
      <c r="J1" s="8" t="s">
        <v>11</v>
      </c>
      <c r="K1" s="8"/>
      <c r="L1" s="8" t="s">
        <v>25</v>
      </c>
      <c r="M1" s="8" t="s">
        <v>26</v>
      </c>
      <c r="N1" s="8" t="s">
        <v>27</v>
      </c>
      <c r="O1" s="8" t="s">
        <v>28</v>
      </c>
      <c r="P1" s="8" t="s">
        <v>29</v>
      </c>
      <c r="Q1" s="8" t="s">
        <v>30</v>
      </c>
    </row>
    <row r="2" spans="1:17">
      <c r="A2" s="8"/>
      <c r="B2" s="8" t="s">
        <v>17</v>
      </c>
      <c r="C2" s="8">
        <v>3783</v>
      </c>
      <c r="D2" s="6">
        <f>C2/$C$14</f>
        <v>8.5474140852707922E-2</v>
      </c>
      <c r="E2" s="29"/>
      <c r="F2" s="8" t="s">
        <v>17</v>
      </c>
      <c r="G2" s="8">
        <v>909</v>
      </c>
      <c r="H2" s="5"/>
      <c r="I2" s="18">
        <f>G2*'YTD Data'!$C$2</f>
        <v>23070688.173868656</v>
      </c>
      <c r="J2" s="8"/>
      <c r="K2" s="8"/>
      <c r="L2" s="4">
        <f>'YTD Data'!$A$2</f>
        <v>3854</v>
      </c>
      <c r="M2" s="4">
        <f>N2-L2</f>
        <v>7262.6541804635763</v>
      </c>
      <c r="N2" s="4">
        <f>$G$14</f>
        <v>11116.654180463576</v>
      </c>
      <c r="O2" s="18">
        <f>'YTD Data'!$B$2</f>
        <v>97815657.010000005</v>
      </c>
      <c r="P2" s="18">
        <f>Q2-O2</f>
        <v>184328305.73390388</v>
      </c>
      <c r="Q2" s="18">
        <f>N2*'YTD Data'!$C$2</f>
        <v>282143962.74390388</v>
      </c>
    </row>
    <row r="3" spans="1:17">
      <c r="A3" s="8"/>
      <c r="B3" s="8" t="s">
        <v>18</v>
      </c>
      <c r="C3" s="8">
        <v>3375</v>
      </c>
      <c r="D3" s="6">
        <f t="shared" ref="D3:D13" si="0">C3/$C$14</f>
        <v>7.6255676811495962E-2</v>
      </c>
      <c r="E3" s="29"/>
      <c r="F3" s="8" t="s">
        <v>18</v>
      </c>
      <c r="G3" s="8">
        <v>880</v>
      </c>
      <c r="H3" s="5"/>
      <c r="I3" s="18">
        <f>G3*'YTD Data'!$C$2</f>
        <v>22334659.618266687</v>
      </c>
      <c r="J3" s="8"/>
      <c r="K3" s="8"/>
      <c r="L3" s="8"/>
      <c r="M3" s="8"/>
      <c r="N3" s="8"/>
      <c r="O3" s="8"/>
      <c r="P3" s="8"/>
      <c r="Q3" s="8"/>
    </row>
    <row r="4" spans="1:17">
      <c r="A4" s="8"/>
      <c r="B4" s="8" t="s">
        <v>19</v>
      </c>
      <c r="C4" s="8">
        <v>3766</v>
      </c>
      <c r="D4" s="6">
        <f t="shared" si="0"/>
        <v>8.509003818432409E-2</v>
      </c>
      <c r="E4" s="29"/>
      <c r="F4" s="8" t="s">
        <v>19</v>
      </c>
      <c r="G4" s="8">
        <v>906</v>
      </c>
      <c r="H4" s="5"/>
      <c r="I4" s="18">
        <f>G4*'YTD Data'!$C$2</f>
        <v>22994547.288806386</v>
      </c>
      <c r="J4" s="4"/>
      <c r="K4" s="8"/>
      <c r="L4" s="8"/>
      <c r="M4" s="8"/>
      <c r="N4" s="8"/>
      <c r="O4" s="8"/>
      <c r="P4" s="8"/>
      <c r="Q4" s="8"/>
    </row>
    <row r="5" spans="1:17">
      <c r="A5" s="8"/>
      <c r="B5" s="8" t="s">
        <v>20</v>
      </c>
      <c r="C5" s="8">
        <v>3572</v>
      </c>
      <c r="D5" s="6">
        <f t="shared" si="0"/>
        <v>8.0706748909826251E-2</v>
      </c>
      <c r="E5" s="29"/>
      <c r="F5" s="8" t="s">
        <v>20</v>
      </c>
      <c r="G5" s="8">
        <v>946</v>
      </c>
      <c r="H5" s="5"/>
      <c r="I5" s="18">
        <f>G5*'YTD Data'!$C$2</f>
        <v>24009759.089636691</v>
      </c>
      <c r="J5" s="8"/>
      <c r="K5" s="8"/>
      <c r="L5" s="8"/>
      <c r="M5" s="8"/>
      <c r="N5" s="8"/>
      <c r="O5" s="8"/>
      <c r="P5" s="8"/>
      <c r="Q5" s="8"/>
    </row>
    <row r="6" spans="1:17">
      <c r="A6" s="8"/>
      <c r="B6" s="8" t="s">
        <v>21</v>
      </c>
      <c r="C6" s="8">
        <v>3700</v>
      </c>
      <c r="D6" s="6">
        <f t="shared" si="0"/>
        <v>8.3598816060010392E-2</v>
      </c>
      <c r="E6" s="29" t="s">
        <v>10</v>
      </c>
      <c r="F6" s="8" t="s">
        <v>21</v>
      </c>
      <c r="G6" s="4">
        <f>$G$14*D6</f>
        <v>929.33912803532007</v>
      </c>
      <c r="H6" s="4">
        <f>$G$14*D6</f>
        <v>929.33912803532007</v>
      </c>
      <c r="I6" s="18">
        <f>G6*'YTD Data'!$C$2</f>
        <v>23586901.243870042</v>
      </c>
      <c r="J6" s="18">
        <f>H6*'YTD Data'!$C$2</f>
        <v>23586901.243870042</v>
      </c>
      <c r="K6" s="8"/>
      <c r="L6" s="8"/>
      <c r="M6" s="8"/>
      <c r="N6" s="8"/>
      <c r="O6" s="8"/>
      <c r="P6" s="8"/>
      <c r="Q6" s="8"/>
    </row>
    <row r="7" spans="1:17">
      <c r="A7" s="8"/>
      <c r="B7" s="8" t="s">
        <v>31</v>
      </c>
      <c r="C7" s="8">
        <v>3792</v>
      </c>
      <c r="D7" s="6">
        <f t="shared" si="0"/>
        <v>8.5677489324205242E-2</v>
      </c>
      <c r="E7" s="29" t="s">
        <v>32</v>
      </c>
      <c r="F7" s="8" t="s">
        <v>31</v>
      </c>
      <c r="G7" s="4"/>
      <c r="H7" s="4">
        <f t="shared" ref="H3:H13" si="1">$G$14*D7</f>
        <v>952.44701986754967</v>
      </c>
      <c r="I7" s="8"/>
      <c r="J7" s="18">
        <f>H7*'YTD Data'!$C$2</f>
        <v>24173386.355879784</v>
      </c>
      <c r="K7" s="8"/>
      <c r="L7" s="8"/>
      <c r="M7" s="8"/>
      <c r="N7" s="8"/>
      <c r="O7" s="8"/>
      <c r="P7" s="8"/>
      <c r="Q7" s="8"/>
    </row>
    <row r="8" spans="1:17">
      <c r="A8" s="8"/>
      <c r="B8" s="8" t="s">
        <v>33</v>
      </c>
      <c r="C8" s="8">
        <v>3855</v>
      </c>
      <c r="D8" s="6">
        <f t="shared" si="0"/>
        <v>8.7100928624686505E-2</v>
      </c>
      <c r="E8" s="29"/>
      <c r="F8" s="8" t="s">
        <v>33</v>
      </c>
      <c r="G8" s="4"/>
      <c r="H8" s="4">
        <f t="shared" si="1"/>
        <v>968.27090231788077</v>
      </c>
      <c r="I8" s="8"/>
      <c r="J8" s="18">
        <f>H8*'YTD Data'!$C$2</f>
        <v>24575001.160842977</v>
      </c>
      <c r="K8" s="8"/>
      <c r="L8" s="8"/>
      <c r="M8" s="8"/>
      <c r="N8" s="8"/>
      <c r="O8" s="8"/>
      <c r="P8" s="8"/>
      <c r="Q8" s="8"/>
    </row>
    <row r="9" spans="1:17">
      <c r="A9" s="8"/>
      <c r="B9" s="8" t="s">
        <v>34</v>
      </c>
      <c r="C9" s="8">
        <v>3831</v>
      </c>
      <c r="D9" s="6">
        <f t="shared" si="0"/>
        <v>8.6558666034026982E-2</v>
      </c>
      <c r="E9" s="29"/>
      <c r="F9" s="8" t="s">
        <v>34</v>
      </c>
      <c r="G9" s="4"/>
      <c r="H9" s="4">
        <f t="shared" si="1"/>
        <v>962.24275662251659</v>
      </c>
      <c r="I9" s="8"/>
      <c r="J9" s="18">
        <f>H9*'YTD Data'!$C$2</f>
        <v>24422005.044666525</v>
      </c>
      <c r="K9" s="8"/>
      <c r="L9" s="8"/>
      <c r="M9" s="8"/>
      <c r="N9" s="8"/>
      <c r="O9" s="8"/>
      <c r="P9" s="8"/>
      <c r="Q9" s="8"/>
    </row>
    <row r="10" spans="1:17">
      <c r="A10" s="8"/>
      <c r="B10" s="8" t="s">
        <v>35</v>
      </c>
      <c r="C10" s="8">
        <v>3610</v>
      </c>
      <c r="D10" s="6">
        <f t="shared" si="0"/>
        <v>8.156533134503717E-2</v>
      </c>
      <c r="E10" s="29"/>
      <c r="F10" s="8" t="s">
        <v>35</v>
      </c>
      <c r="G10" s="4"/>
      <c r="H10" s="4">
        <f t="shared" si="1"/>
        <v>906.73358167770425</v>
      </c>
      <c r="I10" s="8"/>
      <c r="J10" s="18">
        <f>H10*'YTD Data'!$C$2</f>
        <v>23013165.808208343</v>
      </c>
      <c r="K10" s="8"/>
      <c r="L10" s="8"/>
      <c r="M10" s="8"/>
      <c r="N10" s="8"/>
      <c r="O10" s="8"/>
      <c r="P10" s="8"/>
      <c r="Q10" s="8"/>
    </row>
    <row r="11" spans="1:17">
      <c r="A11" s="8"/>
      <c r="B11" s="8" t="s">
        <v>36</v>
      </c>
      <c r="C11" s="8">
        <v>3665</v>
      </c>
      <c r="D11" s="6">
        <f t="shared" si="0"/>
        <v>8.2808016448631921E-2</v>
      </c>
      <c r="E11" s="29"/>
      <c r="F11" s="8" t="s">
        <v>36</v>
      </c>
      <c r="G11" s="4"/>
      <c r="H11" s="4">
        <f t="shared" si="1"/>
        <v>920.54808222958059</v>
      </c>
      <c r="I11" s="8"/>
      <c r="J11" s="18">
        <f>H11*'YTD Data'!$C$2</f>
        <v>23363781.907779381</v>
      </c>
      <c r="K11" s="8"/>
      <c r="L11" s="8"/>
      <c r="M11" s="8"/>
      <c r="N11" s="8"/>
      <c r="O11" s="8"/>
      <c r="P11" s="8"/>
      <c r="Q11" s="8"/>
    </row>
    <row r="12" spans="1:17">
      <c r="A12" s="8"/>
      <c r="B12" s="8" t="s">
        <v>37</v>
      </c>
      <c r="C12" s="8">
        <v>3589</v>
      </c>
      <c r="D12" s="6">
        <f t="shared" si="0"/>
        <v>8.1090851578210082E-2</v>
      </c>
      <c r="E12" s="29"/>
      <c r="F12" s="8" t="s">
        <v>37</v>
      </c>
      <c r="G12" s="4"/>
      <c r="H12" s="4">
        <f t="shared" si="1"/>
        <v>901.45895419426051</v>
      </c>
      <c r="I12" s="8"/>
      <c r="J12" s="18">
        <f>H12*'YTD Data'!$C$2</f>
        <v>22879294.206553943</v>
      </c>
      <c r="K12" s="8"/>
      <c r="L12" s="8"/>
      <c r="M12" s="8"/>
      <c r="N12" s="8"/>
      <c r="O12" s="8"/>
      <c r="P12" s="8"/>
      <c r="Q12" s="8"/>
    </row>
    <row r="13" spans="1:17">
      <c r="A13" s="8"/>
      <c r="B13" s="8" t="s">
        <v>38</v>
      </c>
      <c r="C13" s="8">
        <v>3721</v>
      </c>
      <c r="D13" s="6">
        <f t="shared" si="0"/>
        <v>8.407329582683748E-2</v>
      </c>
      <c r="E13" s="29"/>
      <c r="F13" s="8" t="s">
        <v>38</v>
      </c>
      <c r="G13" s="4"/>
      <c r="H13" s="4">
        <f t="shared" si="1"/>
        <v>934.61375551876381</v>
      </c>
      <c r="I13" s="8"/>
      <c r="J13" s="18">
        <f>H13*'YTD Data'!$C$2</f>
        <v>23720772.845524441</v>
      </c>
      <c r="K13" s="8"/>
      <c r="L13" s="8"/>
      <c r="M13" s="8"/>
      <c r="N13" s="8"/>
      <c r="O13" s="8"/>
      <c r="P13" s="8"/>
      <c r="Q13" s="8"/>
    </row>
    <row r="14" spans="1:17">
      <c r="A14" s="8" t="s">
        <v>10</v>
      </c>
      <c r="B14" s="8"/>
      <c r="C14" s="8">
        <f>SUM(C2:C13)</f>
        <v>44259</v>
      </c>
      <c r="D14" s="6">
        <f>SUM(D2:D13)</f>
        <v>1</v>
      </c>
      <c r="E14" s="29" t="s">
        <v>39</v>
      </c>
      <c r="F14" s="8"/>
      <c r="G14" s="4">
        <f>J17/D18</f>
        <v>11116.654180463576</v>
      </c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  <row r="16" spans="1:17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2">
      <c r="A17" s="8"/>
      <c r="B17" s="8"/>
      <c r="C17" s="8"/>
      <c r="D17" s="8"/>
      <c r="E17" s="8"/>
      <c r="F17" s="8"/>
      <c r="G17" s="8"/>
      <c r="H17" s="8"/>
      <c r="I17" s="8" t="s">
        <v>40</v>
      </c>
      <c r="J17" s="8">
        <f>SUM(G2:G5)</f>
        <v>3641</v>
      </c>
      <c r="K17" s="8"/>
      <c r="L17" s="8"/>
    </row>
    <row r="18" spans="1:12">
      <c r="A18" s="8"/>
      <c r="B18" s="8"/>
      <c r="C18" s="8" t="s">
        <v>41</v>
      </c>
      <c r="D18" s="6">
        <f>(SUM(C2:C5))/C14</f>
        <v>0.32752660475835421</v>
      </c>
      <c r="E18" s="8"/>
      <c r="F18" s="8"/>
      <c r="G18" s="8"/>
      <c r="H18" s="8"/>
      <c r="I18" s="8"/>
      <c r="J18" s="8"/>
      <c r="K18" s="8"/>
      <c r="L18" s="8"/>
    </row>
    <row r="19" spans="1:12">
      <c r="A19" s="8"/>
      <c r="B19" s="8"/>
      <c r="C19" s="8"/>
      <c r="D19" s="8"/>
      <c r="E19" s="8"/>
      <c r="F19" s="8"/>
      <c r="G19" s="8"/>
      <c r="H19" s="8" t="s">
        <v>42</v>
      </c>
      <c r="I19" s="8" t="s">
        <v>43</v>
      </c>
      <c r="J19" s="8"/>
      <c r="K19" s="8"/>
      <c r="L19" s="8"/>
    </row>
    <row r="20" spans="1:12">
      <c r="A20" s="8"/>
      <c r="B20" s="8" t="s">
        <v>44</v>
      </c>
      <c r="C20" s="8">
        <v>11026</v>
      </c>
      <c r="D20" s="8" t="s">
        <v>45</v>
      </c>
      <c r="E20" s="8">
        <v>281977252.55000001</v>
      </c>
      <c r="F20" s="8"/>
      <c r="G20" s="8"/>
      <c r="H20" s="8" t="s">
        <v>46</v>
      </c>
      <c r="I20" s="30">
        <v>173434.92</v>
      </c>
      <c r="J20" s="8"/>
      <c r="K20" s="8"/>
      <c r="L20" s="18"/>
    </row>
    <row r="21" spans="1:12">
      <c r="A21" s="8"/>
      <c r="B21" s="8" t="s">
        <v>47</v>
      </c>
      <c r="C21" s="6">
        <f>(G14-C20)/C20</f>
        <v>8.2218556560471855E-3</v>
      </c>
      <c r="D21" s="8"/>
      <c r="E21" s="6">
        <f>(Q2-E20)/E20</f>
        <v>5.9121859084821922E-4</v>
      </c>
      <c r="F21" s="8"/>
      <c r="G21" s="8"/>
      <c r="H21" s="8" t="s">
        <v>48</v>
      </c>
      <c r="I21" s="30">
        <v>162093.28</v>
      </c>
      <c r="J21" s="8"/>
      <c r="K21" s="8"/>
      <c r="L21" s="18"/>
    </row>
    <row r="22" spans="1:12">
      <c r="A22" s="8"/>
      <c r="B22" s="8"/>
      <c r="C22" s="8"/>
      <c r="D22" s="8"/>
      <c r="E22" s="8"/>
      <c r="F22" s="8"/>
      <c r="G22" s="8"/>
      <c r="H22" s="8" t="s">
        <v>49</v>
      </c>
      <c r="I22" s="30">
        <v>160029.5</v>
      </c>
      <c r="J22" s="8"/>
      <c r="K22" s="8"/>
      <c r="L22" s="18"/>
    </row>
    <row r="23" spans="1:12">
      <c r="A23" s="8"/>
      <c r="B23" s="8"/>
      <c r="C23" s="8"/>
      <c r="D23" s="8"/>
      <c r="E23" s="8"/>
      <c r="F23" s="8"/>
      <c r="G23" s="8"/>
      <c r="H23" s="8" t="s">
        <v>42</v>
      </c>
      <c r="I23" s="8" t="s">
        <v>43</v>
      </c>
      <c r="J23" s="8"/>
      <c r="K23" s="8"/>
      <c r="L23" s="18"/>
    </row>
    <row r="24" spans="1:12">
      <c r="A24" s="8"/>
      <c r="B24" s="8"/>
      <c r="C24" s="8"/>
      <c r="D24" s="8"/>
      <c r="E24" s="8"/>
      <c r="F24" s="8"/>
      <c r="G24" s="8"/>
      <c r="H24" s="8" t="s">
        <v>50</v>
      </c>
      <c r="I24" s="30">
        <v>-2633.24</v>
      </c>
      <c r="J24" s="8"/>
      <c r="K24" s="8"/>
      <c r="L24" s="18"/>
    </row>
    <row r="25" spans="1:12">
      <c r="A25" s="8"/>
      <c r="B25" s="8"/>
      <c r="C25" s="8"/>
      <c r="D25" s="8"/>
      <c r="E25" s="8"/>
      <c r="F25" s="8"/>
      <c r="G25" s="8"/>
      <c r="H25" s="8" t="s">
        <v>51</v>
      </c>
      <c r="I25" s="30">
        <v>-1520.42</v>
      </c>
      <c r="J25" s="8"/>
      <c r="K25" s="8"/>
      <c r="L25" s="18"/>
    </row>
    <row r="26" spans="1:12">
      <c r="A26" s="8"/>
      <c r="B26" s="8"/>
      <c r="C26" s="8" t="s">
        <v>52</v>
      </c>
      <c r="D26" s="8" t="s">
        <v>43</v>
      </c>
      <c r="E26" s="8"/>
      <c r="F26" s="8"/>
      <c r="G26" s="8"/>
      <c r="H26" s="8" t="s">
        <v>53</v>
      </c>
      <c r="I26" s="30">
        <v>-1428.84</v>
      </c>
      <c r="J26" s="8"/>
      <c r="K26" s="8"/>
      <c r="L26" s="18"/>
    </row>
    <row r="27" spans="1:12">
      <c r="A27" s="8"/>
      <c r="B27" s="8"/>
      <c r="C27" s="8">
        <v>2</v>
      </c>
      <c r="D27" s="8">
        <v>18856.28</v>
      </c>
      <c r="E27" s="8"/>
      <c r="F27" s="8"/>
      <c r="G27" s="8"/>
      <c r="H27" s="8"/>
      <c r="I27" s="8"/>
      <c r="J27" s="8"/>
      <c r="K27" s="8"/>
      <c r="L27" s="8"/>
    </row>
    <row r="28" spans="1:12">
      <c r="A28" s="8"/>
      <c r="B28" s="8"/>
      <c r="C28" s="8">
        <v>17</v>
      </c>
      <c r="D28" s="8">
        <v>30590.54</v>
      </c>
      <c r="E28" s="8"/>
      <c r="F28" s="8"/>
      <c r="G28" s="8"/>
      <c r="H28" s="8"/>
      <c r="I28" s="8"/>
      <c r="J28" s="8"/>
      <c r="K28" s="8"/>
      <c r="L28" s="8"/>
    </row>
    <row r="29" spans="1:12">
      <c r="A29" s="8"/>
      <c r="B29" s="8"/>
      <c r="C29" s="8">
        <v>27</v>
      </c>
      <c r="D29" s="8">
        <v>39723.17</v>
      </c>
      <c r="E29" s="8"/>
      <c r="F29" s="8"/>
      <c r="G29" s="8"/>
      <c r="H29" s="8"/>
      <c r="I29" s="8"/>
      <c r="J29" s="8"/>
      <c r="K29" s="8"/>
      <c r="L29" s="8"/>
    </row>
    <row r="30" spans="1:12">
      <c r="A30" s="8"/>
      <c r="B30" s="8"/>
      <c r="C30" s="8">
        <v>4</v>
      </c>
      <c r="D30" s="8">
        <v>35776.82</v>
      </c>
      <c r="E30" s="8"/>
      <c r="F30" s="8"/>
      <c r="G30" s="8"/>
      <c r="H30" s="8"/>
      <c r="I30" s="8"/>
      <c r="J30" s="8"/>
      <c r="K30" s="8"/>
      <c r="L30" s="8"/>
    </row>
    <row r="31" spans="1:12">
      <c r="A31" s="8"/>
      <c r="B31" s="8"/>
      <c r="C31" s="8">
        <v>24</v>
      </c>
      <c r="D31" s="8">
        <v>29504.39</v>
      </c>
      <c r="E31" s="8"/>
      <c r="F31" s="8"/>
      <c r="G31" s="8"/>
      <c r="H31" s="8"/>
      <c r="I31" s="8"/>
      <c r="J31" s="8"/>
      <c r="K31" s="8"/>
      <c r="L31" s="8"/>
    </row>
    <row r="32" spans="1:12">
      <c r="A32" s="8"/>
      <c r="B32" s="8"/>
      <c r="C32" s="8">
        <v>21</v>
      </c>
      <c r="D32" s="8">
        <v>6312.61</v>
      </c>
      <c r="E32" s="8"/>
      <c r="F32" s="8"/>
      <c r="G32" s="8"/>
      <c r="H32" s="8"/>
      <c r="I32" s="8"/>
      <c r="J32" s="8"/>
      <c r="K32" s="8"/>
      <c r="L32" s="8"/>
    </row>
    <row r="33" spans="1:4">
      <c r="A33" s="8"/>
      <c r="B33" s="8"/>
      <c r="C33" s="8">
        <v>23</v>
      </c>
      <c r="D33" s="8">
        <v>40782.93</v>
      </c>
    </row>
    <row r="34" spans="1:4">
      <c r="A34" s="8"/>
      <c r="B34" s="8"/>
      <c r="C34" s="8">
        <v>9</v>
      </c>
      <c r="D34" s="8">
        <v>10352.209999999999</v>
      </c>
    </row>
    <row r="35" spans="1:4">
      <c r="A35" s="8"/>
      <c r="B35" s="8"/>
      <c r="C35" s="8">
        <v>11</v>
      </c>
      <c r="D35" s="8">
        <v>44939.57</v>
      </c>
    </row>
    <row r="36" spans="1:4">
      <c r="A36" s="8"/>
      <c r="B36" s="8"/>
      <c r="C36" s="8">
        <v>30</v>
      </c>
      <c r="D36" s="8">
        <v>22356.23</v>
      </c>
    </row>
    <row r="37" spans="1:4">
      <c r="A37" s="8"/>
      <c r="B37" s="8"/>
      <c r="C37" s="8">
        <v>30</v>
      </c>
      <c r="D37" s="8">
        <v>48995.98</v>
      </c>
    </row>
    <row r="38" spans="1:4">
      <c r="A38" s="8"/>
      <c r="B38" s="8"/>
      <c r="C38" s="8">
        <v>2</v>
      </c>
      <c r="D38" s="8">
        <v>39615.599999999999</v>
      </c>
    </row>
    <row r="39" spans="1:4">
      <c r="A39" s="8"/>
      <c r="B39" s="8"/>
      <c r="C39" s="8">
        <v>10</v>
      </c>
      <c r="D39" s="8">
        <v>45902.71</v>
      </c>
    </row>
    <row r="40" spans="1:4">
      <c r="A40" s="8"/>
      <c r="B40" s="8"/>
      <c r="C40" s="8">
        <v>14</v>
      </c>
      <c r="D40" s="8">
        <v>28899.19</v>
      </c>
    </row>
    <row r="41" spans="1:4">
      <c r="A41" s="8"/>
      <c r="B41" s="8"/>
      <c r="C41" s="8">
        <v>23</v>
      </c>
      <c r="D41" s="8">
        <v>21668.560000000001</v>
      </c>
    </row>
    <row r="42" spans="1:4">
      <c r="A42" s="8"/>
      <c r="B42" s="8"/>
      <c r="C42" s="8">
        <v>24</v>
      </c>
      <c r="D42" s="8">
        <v>32085.23</v>
      </c>
    </row>
    <row r="43" spans="1:4">
      <c r="A43" s="8"/>
      <c r="B43" s="8"/>
      <c r="C43" s="8">
        <v>17</v>
      </c>
      <c r="D43" s="8">
        <v>15367.41</v>
      </c>
    </row>
    <row r="44" spans="1:4">
      <c r="A44" s="8"/>
      <c r="B44" s="8"/>
      <c r="C44" s="8">
        <v>19</v>
      </c>
      <c r="D44" s="8">
        <v>3311.59</v>
      </c>
    </row>
    <row r="45" spans="1:4">
      <c r="A45" s="8"/>
      <c r="B45" s="8"/>
      <c r="C45" s="8">
        <v>27</v>
      </c>
      <c r="D45" s="8">
        <v>31188.04</v>
      </c>
    </row>
    <row r="46" spans="1:4">
      <c r="A46" s="8"/>
      <c r="B46" s="8"/>
      <c r="C46" s="8">
        <v>20</v>
      </c>
      <c r="D46" s="8">
        <v>23340.3</v>
      </c>
    </row>
    <row r="47" spans="1:4">
      <c r="A47" s="8"/>
      <c r="B47" s="8"/>
      <c r="C47" s="8">
        <v>7</v>
      </c>
      <c r="D47" s="8">
        <v>33706.6</v>
      </c>
    </row>
    <row r="48" spans="1:4">
      <c r="A48" s="8"/>
      <c r="B48" s="8"/>
      <c r="C48" s="8">
        <v>30</v>
      </c>
      <c r="D48" s="8">
        <v>17720.32</v>
      </c>
    </row>
    <row r="49" spans="1:4">
      <c r="A49" s="8"/>
      <c r="B49" s="8"/>
      <c r="C49" s="8">
        <v>28</v>
      </c>
      <c r="D49" s="8">
        <v>45594.89</v>
      </c>
    </row>
    <row r="50" spans="1:4">
      <c r="A50" s="8"/>
      <c r="B50" s="8"/>
      <c r="C50" s="8">
        <v>22</v>
      </c>
      <c r="D50" s="8">
        <v>17813.93</v>
      </c>
    </row>
    <row r="51" spans="1:4">
      <c r="A51" s="8"/>
      <c r="B51" s="8"/>
      <c r="C51" s="8">
        <v>14</v>
      </c>
      <c r="D51" s="8">
        <v>20773.02</v>
      </c>
    </row>
    <row r="52" spans="1:4">
      <c r="A52" s="8"/>
      <c r="B52" s="8"/>
      <c r="C52" s="8">
        <v>19</v>
      </c>
      <c r="D52" s="8">
        <v>1878.01</v>
      </c>
    </row>
    <row r="53" spans="1:4">
      <c r="A53" s="8"/>
      <c r="B53" s="8"/>
      <c r="C53" s="8">
        <v>17</v>
      </c>
      <c r="D53" s="8">
        <v>5811.63</v>
      </c>
    </row>
    <row r="54" spans="1:4">
      <c r="A54" s="8"/>
      <c r="B54" s="8"/>
      <c r="C54" s="8">
        <v>12</v>
      </c>
      <c r="D54" s="8">
        <v>22868.53</v>
      </c>
    </row>
    <row r="55" spans="1:4">
      <c r="A55" s="8"/>
      <c r="B55" s="8"/>
      <c r="C55" s="8">
        <v>12</v>
      </c>
      <c r="D55" s="8">
        <v>23235.85</v>
      </c>
    </row>
    <row r="56" spans="1:4">
      <c r="A56" s="8"/>
      <c r="B56" s="8"/>
      <c r="C56" s="8">
        <v>6</v>
      </c>
      <c r="D56" s="8">
        <v>34366</v>
      </c>
    </row>
    <row r="57" spans="1:4">
      <c r="A57" s="8"/>
      <c r="B57" s="8"/>
      <c r="C57" s="8">
        <v>9</v>
      </c>
      <c r="D57" s="8">
        <v>45438.91</v>
      </c>
    </row>
    <row r="58" spans="1:4">
      <c r="A58" s="8"/>
      <c r="B58" s="8"/>
      <c r="C58" s="8">
        <v>24</v>
      </c>
      <c r="D58" s="8">
        <v>42959.3</v>
      </c>
    </row>
    <row r="59" spans="1:4">
      <c r="A59" s="8"/>
      <c r="B59" s="8"/>
      <c r="C59" s="8">
        <v>17</v>
      </c>
      <c r="D59" s="8">
        <v>20885.919999999998</v>
      </c>
    </row>
    <row r="60" spans="1:4">
      <c r="A60" s="8"/>
      <c r="B60" s="8"/>
      <c r="C60" s="8">
        <v>25</v>
      </c>
      <c r="D60" s="8">
        <v>6191.39</v>
      </c>
    </row>
    <row r="61" spans="1:4">
      <c r="A61" s="8"/>
      <c r="B61" s="8"/>
      <c r="C61" s="8">
        <v>12</v>
      </c>
      <c r="D61" s="8">
        <v>36890.269999999997</v>
      </c>
    </row>
    <row r="62" spans="1:4">
      <c r="A62" s="8"/>
      <c r="B62" s="8"/>
      <c r="C62" s="8">
        <v>16</v>
      </c>
      <c r="D62" s="8">
        <v>10461.98</v>
      </c>
    </row>
    <row r="63" spans="1:4">
      <c r="A63" s="8"/>
      <c r="B63" s="8"/>
      <c r="C63" s="8">
        <v>23</v>
      </c>
      <c r="D63" s="8">
        <v>37879.980000000003</v>
      </c>
    </row>
    <row r="64" spans="1:4">
      <c r="A64" s="8"/>
      <c r="B64" s="8"/>
      <c r="C64" s="8">
        <v>14</v>
      </c>
      <c r="D64" s="8">
        <v>1820.02</v>
      </c>
    </row>
    <row r="65" spans="3:4">
      <c r="C65" s="8">
        <v>11</v>
      </c>
      <c r="D65" s="8">
        <v>41492.129999999997</v>
      </c>
    </row>
    <row r="66" spans="3:4">
      <c r="C66" s="8">
        <v>17</v>
      </c>
      <c r="D66" s="8">
        <v>17702.57</v>
      </c>
    </row>
    <row r="67" spans="3:4">
      <c r="C67" s="8">
        <v>14</v>
      </c>
      <c r="D67" s="8">
        <v>18932.310000000001</v>
      </c>
    </row>
    <row r="68" spans="3:4">
      <c r="C68" s="8">
        <v>19</v>
      </c>
      <c r="D68" s="8">
        <v>22063.23</v>
      </c>
    </row>
    <row r="69" spans="3:4">
      <c r="C69" s="8">
        <v>17</v>
      </c>
      <c r="D69" s="8">
        <v>34510.879999999997</v>
      </c>
    </row>
    <row r="70" spans="3:4">
      <c r="C70" s="8">
        <v>8</v>
      </c>
      <c r="D70" s="8">
        <v>47270.25</v>
      </c>
    </row>
    <row r="71" spans="3:4">
      <c r="C71" s="8">
        <v>19</v>
      </c>
      <c r="D71" s="8">
        <v>50563.8</v>
      </c>
    </row>
    <row r="72" spans="3:4">
      <c r="C72" s="8">
        <v>22</v>
      </c>
      <c r="D72" s="8">
        <v>7421.18</v>
      </c>
    </row>
    <row r="73" spans="3:4">
      <c r="C73" s="8">
        <v>28</v>
      </c>
      <c r="D73" s="8">
        <v>16128.25</v>
      </c>
    </row>
    <row r="74" spans="3:4">
      <c r="C74" s="8">
        <v>11</v>
      </c>
      <c r="D74" s="8">
        <v>45665.85</v>
      </c>
    </row>
    <row r="75" spans="3:4">
      <c r="C75" s="8">
        <v>28</v>
      </c>
      <c r="D75" s="8">
        <v>7902.42</v>
      </c>
    </row>
    <row r="76" spans="3:4">
      <c r="C76" s="8">
        <v>25</v>
      </c>
      <c r="D76" s="8">
        <v>46682.45</v>
      </c>
    </row>
    <row r="77" spans="3:4">
      <c r="C77" s="8">
        <v>22</v>
      </c>
      <c r="D77" s="8">
        <v>28510.81</v>
      </c>
    </row>
    <row r="78" spans="3:4">
      <c r="C78" s="8">
        <v>23</v>
      </c>
      <c r="D78" s="8">
        <v>28483.88</v>
      </c>
    </row>
    <row r="79" spans="3:4">
      <c r="C79" s="8">
        <v>26</v>
      </c>
      <c r="D79" s="8">
        <v>13900.05</v>
      </c>
    </row>
    <row r="80" spans="3:4">
      <c r="C80" s="8">
        <v>17</v>
      </c>
      <c r="D80" s="8">
        <v>28281.35</v>
      </c>
    </row>
    <row r="81" spans="3:4">
      <c r="C81" s="8">
        <v>19</v>
      </c>
      <c r="D81" s="8">
        <v>49118.59</v>
      </c>
    </row>
    <row r="82" spans="3:4">
      <c r="C82" s="8">
        <v>18</v>
      </c>
      <c r="D82" s="8">
        <v>49446.46</v>
      </c>
    </row>
    <row r="83" spans="3:4">
      <c r="C83" s="8">
        <v>13</v>
      </c>
      <c r="D83" s="8">
        <v>5315.71</v>
      </c>
    </row>
    <row r="84" spans="3:4">
      <c r="C84" s="8">
        <v>28</v>
      </c>
      <c r="D84" s="8">
        <v>27512.91</v>
      </c>
    </row>
    <row r="85" spans="3:4">
      <c r="C85" s="8">
        <v>12</v>
      </c>
      <c r="D85" s="8">
        <v>22069.599999999999</v>
      </c>
    </row>
    <row r="86" spans="3:4">
      <c r="C86" s="8">
        <v>25</v>
      </c>
      <c r="D86" s="8">
        <v>37194.26</v>
      </c>
    </row>
    <row r="87" spans="3:4">
      <c r="C87" s="8">
        <v>30</v>
      </c>
      <c r="D87" s="8">
        <v>48004.97</v>
      </c>
    </row>
    <row r="88" spans="3:4">
      <c r="C88" s="8">
        <v>27</v>
      </c>
      <c r="D88" s="8">
        <v>5164.55</v>
      </c>
    </row>
    <row r="89" spans="3:4">
      <c r="C89" s="8">
        <v>22</v>
      </c>
      <c r="D89" s="8">
        <v>42434.78</v>
      </c>
    </row>
    <row r="90" spans="3:4">
      <c r="C90" s="8">
        <v>29</v>
      </c>
      <c r="D90" s="8">
        <v>38570.129999999997</v>
      </c>
    </row>
    <row r="91" spans="3:4">
      <c r="C91" s="8">
        <v>20</v>
      </c>
      <c r="D91" s="8">
        <v>6162.35</v>
      </c>
    </row>
    <row r="92" spans="3:4">
      <c r="C92" s="8">
        <v>12</v>
      </c>
      <c r="D92" s="8">
        <v>46084.67</v>
      </c>
    </row>
    <row r="93" spans="3:4">
      <c r="C93" s="8">
        <v>19</v>
      </c>
      <c r="D93" s="8">
        <v>6657.35</v>
      </c>
    </row>
    <row r="94" spans="3:4">
      <c r="C94" s="8">
        <v>1</v>
      </c>
      <c r="D94" s="8">
        <v>1805.52</v>
      </c>
    </row>
    <row r="95" spans="3:4">
      <c r="C95" s="8">
        <v>2</v>
      </c>
      <c r="D95" s="8">
        <v>34557.29</v>
      </c>
    </row>
    <row r="96" spans="3:4">
      <c r="C96" s="8">
        <v>12</v>
      </c>
      <c r="D96" s="8">
        <v>30549.65</v>
      </c>
    </row>
    <row r="97" spans="3:4">
      <c r="C97" s="8">
        <v>16</v>
      </c>
      <c r="D97" s="8">
        <v>47700.54</v>
      </c>
    </row>
    <row r="98" spans="3:4">
      <c r="C98" s="8">
        <v>5</v>
      </c>
      <c r="D98" s="8">
        <v>26223.17</v>
      </c>
    </row>
    <row r="99" spans="3:4">
      <c r="C99" s="8">
        <v>12</v>
      </c>
      <c r="D99" s="8">
        <v>4697.2299999999996</v>
      </c>
    </row>
    <row r="100" spans="3:4">
      <c r="C100" s="8">
        <v>17</v>
      </c>
      <c r="D100" s="8">
        <v>8726.7000000000007</v>
      </c>
    </row>
    <row r="101" spans="3:4">
      <c r="C101" s="8">
        <v>20</v>
      </c>
      <c r="D101" s="8">
        <v>7380.73</v>
      </c>
    </row>
    <row r="102" spans="3:4">
      <c r="C102" s="8">
        <v>8</v>
      </c>
      <c r="D102" s="8">
        <v>20590.52</v>
      </c>
    </row>
    <row r="103" spans="3:4">
      <c r="C103" s="8">
        <v>16</v>
      </c>
      <c r="D103" s="8">
        <v>32136.51</v>
      </c>
    </row>
    <row r="104" spans="3:4">
      <c r="C104" s="8">
        <v>16</v>
      </c>
      <c r="D104" s="8">
        <v>32633.200000000001</v>
      </c>
    </row>
    <row r="105" spans="3:4">
      <c r="C105" s="8">
        <v>7</v>
      </c>
      <c r="D105" s="8">
        <v>22913.35</v>
      </c>
    </row>
    <row r="106" spans="3:4">
      <c r="C106" s="8">
        <v>2</v>
      </c>
      <c r="D106" s="8">
        <v>3963.12</v>
      </c>
    </row>
    <row r="107" spans="3:4">
      <c r="C107" s="8">
        <v>25</v>
      </c>
      <c r="D107" s="8">
        <v>14687.5</v>
      </c>
    </row>
    <row r="108" spans="3:4">
      <c r="C108" s="8">
        <v>1</v>
      </c>
      <c r="D108" s="8">
        <v>32173.35</v>
      </c>
    </row>
    <row r="109" spans="3:4">
      <c r="C109" s="8">
        <v>4</v>
      </c>
      <c r="D109" s="8">
        <v>13302.23</v>
      </c>
    </row>
    <row r="110" spans="3:4">
      <c r="C110" s="8">
        <v>21</v>
      </c>
      <c r="D110" s="8">
        <v>43801.73</v>
      </c>
    </row>
    <row r="111" spans="3:4">
      <c r="C111" s="8">
        <v>11</v>
      </c>
      <c r="D111" s="8">
        <v>6576.09</v>
      </c>
    </row>
    <row r="112" spans="3:4">
      <c r="C112" s="8">
        <v>22</v>
      </c>
      <c r="D112" s="8">
        <v>18187.77</v>
      </c>
    </row>
    <row r="113" spans="3:4">
      <c r="C113" s="8">
        <v>18</v>
      </c>
      <c r="D113" s="8">
        <v>15645.72</v>
      </c>
    </row>
    <row r="114" spans="3:4">
      <c r="C114" s="8">
        <v>1</v>
      </c>
      <c r="D114" s="8">
        <v>42500.59</v>
      </c>
    </row>
    <row r="115" spans="3:4">
      <c r="C115" s="8">
        <v>23</v>
      </c>
      <c r="D115" s="8">
        <v>15648.79</v>
      </c>
    </row>
    <row r="116" spans="3:4">
      <c r="C116" s="8">
        <v>5</v>
      </c>
      <c r="D116" s="8">
        <v>46094.98</v>
      </c>
    </row>
    <row r="117" spans="3:4">
      <c r="C117" s="8">
        <v>4</v>
      </c>
      <c r="D117" s="8">
        <v>12150.47</v>
      </c>
    </row>
    <row r="118" spans="3:4">
      <c r="C118" s="8">
        <v>13</v>
      </c>
      <c r="D118" s="8">
        <v>12063.95</v>
      </c>
    </row>
    <row r="119" spans="3:4">
      <c r="C119" s="8">
        <v>30</v>
      </c>
      <c r="D119" s="8">
        <v>25702.3</v>
      </c>
    </row>
    <row r="120" spans="3:4">
      <c r="C120" s="8">
        <v>5</v>
      </c>
      <c r="D120" s="8">
        <v>7475.74</v>
      </c>
    </row>
    <row r="121" spans="3:4">
      <c r="C121" s="8">
        <v>22</v>
      </c>
      <c r="D121" s="8">
        <v>24809.72</v>
      </c>
    </row>
    <row r="122" spans="3:4">
      <c r="C122" s="8">
        <v>13</v>
      </c>
      <c r="D122" s="8">
        <v>26036.67</v>
      </c>
    </row>
    <row r="123" spans="3:4">
      <c r="C123" s="8">
        <v>21</v>
      </c>
      <c r="D123" s="8">
        <v>6257.13</v>
      </c>
    </row>
    <row r="124" spans="3:4">
      <c r="C124" s="8">
        <v>22</v>
      </c>
      <c r="D124" s="8">
        <v>32968.230000000003</v>
      </c>
    </row>
    <row r="125" spans="3:4">
      <c r="C125" s="8">
        <v>24</v>
      </c>
      <c r="D125" s="8">
        <v>5352.55</v>
      </c>
    </row>
    <row r="126" spans="3:4">
      <c r="C126" s="8">
        <v>19</v>
      </c>
      <c r="D126" s="8">
        <v>6789.92</v>
      </c>
    </row>
    <row r="127" spans="3:4">
      <c r="C127" s="8">
        <v>5</v>
      </c>
      <c r="D127" s="8">
        <v>29283.599999999999</v>
      </c>
    </row>
    <row r="128" spans="3:4">
      <c r="C128" s="8">
        <v>4</v>
      </c>
      <c r="D128" s="8">
        <v>34006.629999999997</v>
      </c>
    </row>
    <row r="129" spans="3:4">
      <c r="C129" s="8">
        <v>20</v>
      </c>
      <c r="D129" s="8">
        <v>26408.47</v>
      </c>
    </row>
    <row r="130" spans="3:4">
      <c r="C130" s="8">
        <v>4</v>
      </c>
      <c r="D130" s="8">
        <v>37309.35</v>
      </c>
    </row>
    <row r="131" spans="3:4">
      <c r="C131" s="8">
        <v>3</v>
      </c>
      <c r="D131" s="8">
        <v>23995.15</v>
      </c>
    </row>
    <row r="132" spans="3:4">
      <c r="C132" s="8">
        <v>28</v>
      </c>
      <c r="D132" s="8">
        <v>32956.18</v>
      </c>
    </row>
    <row r="133" spans="3:4">
      <c r="C133" s="8">
        <v>29</v>
      </c>
      <c r="D133" s="8">
        <v>44867.89</v>
      </c>
    </row>
    <row r="134" spans="3:4">
      <c r="C134" s="8">
        <v>16</v>
      </c>
      <c r="D134" s="8">
        <v>12869.43</v>
      </c>
    </row>
    <row r="135" spans="3:4">
      <c r="C135" s="8">
        <v>22</v>
      </c>
      <c r="D135" s="8">
        <v>49125.38</v>
      </c>
    </row>
    <row r="136" spans="3:4">
      <c r="C136" s="8">
        <v>9</v>
      </c>
      <c r="D136" s="8">
        <v>22506.86</v>
      </c>
    </row>
    <row r="137" spans="3:4">
      <c r="C137" s="8">
        <v>7</v>
      </c>
      <c r="D137" s="8">
        <v>43838.29</v>
      </c>
    </row>
    <row r="138" spans="3:4">
      <c r="C138" s="8">
        <v>20</v>
      </c>
      <c r="D138" s="8">
        <v>48413.77</v>
      </c>
    </row>
    <row r="139" spans="3:4">
      <c r="C139" s="8">
        <v>18</v>
      </c>
      <c r="D139" s="8">
        <v>42291.4</v>
      </c>
    </row>
    <row r="140" spans="3:4">
      <c r="C140" s="8">
        <v>24</v>
      </c>
      <c r="D140" s="8">
        <v>16321</v>
      </c>
    </row>
    <row r="141" spans="3:4">
      <c r="C141" s="8">
        <v>30</v>
      </c>
      <c r="D141" s="8">
        <v>20909.849999999999</v>
      </c>
    </row>
    <row r="142" spans="3:4">
      <c r="C142" s="8">
        <v>12</v>
      </c>
      <c r="D142" s="8">
        <v>28958.31</v>
      </c>
    </row>
    <row r="143" spans="3:4">
      <c r="C143" s="8">
        <v>26</v>
      </c>
      <c r="D143" s="8">
        <v>21388.67</v>
      </c>
    </row>
    <row r="144" spans="3:4">
      <c r="C144" s="8">
        <v>6</v>
      </c>
      <c r="D144" s="8">
        <v>34153.15</v>
      </c>
    </row>
    <row r="145" spans="3:4">
      <c r="C145" s="8">
        <v>6</v>
      </c>
      <c r="D145" s="8">
        <v>32713.34</v>
      </c>
    </row>
    <row r="146" spans="3:4">
      <c r="C146" s="8">
        <v>14</v>
      </c>
      <c r="D146" s="8">
        <v>26239.3</v>
      </c>
    </row>
    <row r="147" spans="3:4">
      <c r="C147" s="8">
        <v>18</v>
      </c>
      <c r="D147" s="8">
        <v>23890.560000000001</v>
      </c>
    </row>
    <row r="148" spans="3:4">
      <c r="C148" s="8">
        <v>8</v>
      </c>
      <c r="D148" s="8">
        <v>42757.45</v>
      </c>
    </row>
    <row r="149" spans="3:4">
      <c r="C149" s="8">
        <v>11</v>
      </c>
      <c r="D149" s="8">
        <v>35659.269999999997</v>
      </c>
    </row>
    <row r="150" spans="3:4">
      <c r="C150" s="8">
        <v>18</v>
      </c>
      <c r="D150" s="8">
        <v>34770.04</v>
      </c>
    </row>
    <row r="151" spans="3:4">
      <c r="C151" s="8">
        <v>6</v>
      </c>
      <c r="D151" s="8">
        <v>18231.07</v>
      </c>
    </row>
    <row r="152" spans="3:4">
      <c r="C152" s="8">
        <v>20</v>
      </c>
      <c r="D152" s="8">
        <v>8602.06</v>
      </c>
    </row>
    <row r="153" spans="3:4">
      <c r="C153" s="8">
        <v>12</v>
      </c>
      <c r="D153" s="8">
        <v>41050.89</v>
      </c>
    </row>
    <row r="154" spans="3:4">
      <c r="C154" s="8">
        <v>15</v>
      </c>
      <c r="D154" s="8">
        <v>31762.080000000002</v>
      </c>
    </row>
    <row r="155" spans="3:4">
      <c r="C155" s="8">
        <v>9</v>
      </c>
      <c r="D155" s="8">
        <v>19119.38</v>
      </c>
    </row>
    <row r="156" spans="3:4">
      <c r="C156" s="8">
        <v>16</v>
      </c>
      <c r="D156" s="8">
        <v>21792.33</v>
      </c>
    </row>
    <row r="157" spans="3:4">
      <c r="C157" s="8">
        <v>20</v>
      </c>
      <c r="D157" s="8">
        <v>40191.730000000003</v>
      </c>
    </row>
    <row r="158" spans="3:4">
      <c r="C158" s="8">
        <v>14</v>
      </c>
      <c r="D158" s="8">
        <v>3767.64</v>
      </c>
    </row>
    <row r="159" spans="3:4">
      <c r="C159" s="8">
        <v>5</v>
      </c>
      <c r="D159" s="8">
        <v>11090.34</v>
      </c>
    </row>
    <row r="160" spans="3:4">
      <c r="C160" s="8">
        <v>6</v>
      </c>
      <c r="D160" s="8">
        <v>14361.09</v>
      </c>
    </row>
    <row r="161" spans="3:4">
      <c r="C161" s="8">
        <v>22</v>
      </c>
      <c r="D161" s="8">
        <v>9425.08</v>
      </c>
    </row>
    <row r="162" spans="3:4">
      <c r="C162" s="8">
        <v>28</v>
      </c>
      <c r="D162" s="8">
        <v>9955.44</v>
      </c>
    </row>
    <row r="163" spans="3:4">
      <c r="C163" s="8">
        <v>25</v>
      </c>
      <c r="D163" s="8">
        <v>11064.03</v>
      </c>
    </row>
    <row r="164" spans="3:4">
      <c r="C164" s="8">
        <v>19</v>
      </c>
      <c r="D164" s="8">
        <v>48615.35</v>
      </c>
    </row>
    <row r="165" spans="3:4">
      <c r="C165" s="8">
        <v>20</v>
      </c>
      <c r="D165" s="8">
        <v>1398.88</v>
      </c>
    </row>
    <row r="166" spans="3:4">
      <c r="C166" s="8">
        <v>5</v>
      </c>
      <c r="D166" s="8">
        <v>25261.18</v>
      </c>
    </row>
    <row r="167" spans="3:4">
      <c r="C167" s="8">
        <v>3</v>
      </c>
      <c r="D167" s="8">
        <v>41515.26</v>
      </c>
    </row>
    <row r="168" spans="3:4">
      <c r="C168" s="8">
        <v>23</v>
      </c>
      <c r="D168" s="8">
        <v>20762.02</v>
      </c>
    </row>
    <row r="169" spans="3:4">
      <c r="C169" s="8">
        <v>3</v>
      </c>
      <c r="D169" s="8">
        <v>47906.01</v>
      </c>
    </row>
    <row r="170" spans="3:4">
      <c r="C170" s="8">
        <v>29</v>
      </c>
      <c r="D170" s="8">
        <v>37989.199999999997</v>
      </c>
    </row>
    <row r="171" spans="3:4">
      <c r="C171" s="8">
        <v>9</v>
      </c>
      <c r="D171" s="8">
        <v>46772.77</v>
      </c>
    </row>
    <row r="172" spans="3:4">
      <c r="C172" s="8">
        <v>1</v>
      </c>
      <c r="D172" s="8">
        <v>33779.26</v>
      </c>
    </row>
    <row r="173" spans="3:4">
      <c r="C173" s="8">
        <v>27</v>
      </c>
      <c r="D173" s="8">
        <v>46605.05</v>
      </c>
    </row>
    <row r="174" spans="3:4">
      <c r="C174" s="8">
        <v>13</v>
      </c>
      <c r="D174" s="8">
        <v>24490.02</v>
      </c>
    </row>
    <row r="175" spans="3:4">
      <c r="C175" s="8">
        <v>24</v>
      </c>
      <c r="D175" s="8">
        <v>36067.82</v>
      </c>
    </row>
    <row r="176" spans="3:4">
      <c r="C176" s="8">
        <v>5</v>
      </c>
      <c r="D176" s="8">
        <v>38160.74</v>
      </c>
    </row>
    <row r="177" spans="3:4">
      <c r="C177" s="8">
        <v>2</v>
      </c>
      <c r="D177" s="8">
        <v>5264.18</v>
      </c>
    </row>
    <row r="178" spans="3:4">
      <c r="C178" s="8">
        <v>17</v>
      </c>
      <c r="D178" s="8">
        <v>10653.47</v>
      </c>
    </row>
    <row r="179" spans="3:4">
      <c r="C179" s="8">
        <v>16</v>
      </c>
      <c r="D179" s="8">
        <v>26686.2</v>
      </c>
    </row>
    <row r="180" spans="3:4">
      <c r="C180" s="8">
        <v>14</v>
      </c>
      <c r="D180" s="8">
        <v>35294.68</v>
      </c>
    </row>
    <row r="181" spans="3:4">
      <c r="C181" s="8">
        <v>1</v>
      </c>
      <c r="D181" s="8">
        <v>29950.720000000001</v>
      </c>
    </row>
    <row r="182" spans="3:4">
      <c r="C182" s="8">
        <v>5</v>
      </c>
      <c r="D182" s="8">
        <v>32857.620000000003</v>
      </c>
    </row>
    <row r="183" spans="3:4">
      <c r="C183" s="8">
        <v>12</v>
      </c>
      <c r="D183" s="8">
        <v>8896.02</v>
      </c>
    </row>
    <row r="184" spans="3:4">
      <c r="C184" s="8">
        <v>24</v>
      </c>
      <c r="D184" s="8">
        <v>39379.019999999997</v>
      </c>
    </row>
    <row r="185" spans="3:4">
      <c r="C185" s="8">
        <v>16</v>
      </c>
      <c r="D185" s="8">
        <v>11124.84</v>
      </c>
    </row>
    <row r="186" spans="3:4">
      <c r="C186" s="8">
        <v>14</v>
      </c>
      <c r="D186" s="8">
        <v>5030.8500000000004</v>
      </c>
    </row>
    <row r="187" spans="3:4">
      <c r="C187" s="8">
        <v>28</v>
      </c>
      <c r="D187" s="8">
        <v>20268.68</v>
      </c>
    </row>
    <row r="188" spans="3:4">
      <c r="C188" s="8">
        <v>30</v>
      </c>
      <c r="D188" s="8">
        <v>10820.78</v>
      </c>
    </row>
    <row r="189" spans="3:4">
      <c r="C189" s="8">
        <v>8</v>
      </c>
      <c r="D189" s="8">
        <v>16521.900000000001</v>
      </c>
    </row>
    <row r="190" spans="3:4">
      <c r="C190" s="8">
        <v>18</v>
      </c>
      <c r="D190" s="8">
        <v>43317.62</v>
      </c>
    </row>
    <row r="191" spans="3:4">
      <c r="C191" s="8">
        <v>12</v>
      </c>
      <c r="D191" s="8">
        <v>13294.12</v>
      </c>
    </row>
    <row r="192" spans="3:4">
      <c r="C192" s="8">
        <v>4</v>
      </c>
      <c r="D192" s="8">
        <v>2431.84</v>
      </c>
    </row>
    <row r="193" spans="3:4">
      <c r="C193" s="8">
        <v>14</v>
      </c>
      <c r="D193" s="8">
        <v>36045.06</v>
      </c>
    </row>
    <row r="194" spans="3:4">
      <c r="C194" s="8">
        <v>30</v>
      </c>
      <c r="D194" s="8">
        <v>38265.07</v>
      </c>
    </row>
    <row r="195" spans="3:4">
      <c r="C195" s="8">
        <v>13</v>
      </c>
      <c r="D195" s="8">
        <v>27101.87</v>
      </c>
    </row>
    <row r="196" spans="3:4">
      <c r="C196" s="8">
        <v>21</v>
      </c>
      <c r="D196" s="8">
        <v>43726.58</v>
      </c>
    </row>
    <row r="197" spans="3:4">
      <c r="C197" s="8">
        <v>16</v>
      </c>
      <c r="D197" s="8">
        <v>18853.150000000001</v>
      </c>
    </row>
    <row r="198" spans="3:4">
      <c r="C198" s="8">
        <v>17</v>
      </c>
      <c r="D198" s="8">
        <v>23882.14</v>
      </c>
    </row>
    <row r="199" spans="3:4">
      <c r="C199" s="8">
        <v>8</v>
      </c>
      <c r="D199" s="8">
        <v>43281.599999999999</v>
      </c>
    </row>
    <row r="200" spans="3:4">
      <c r="C200" s="8">
        <v>25</v>
      </c>
      <c r="D200" s="8">
        <v>24617.97</v>
      </c>
    </row>
    <row r="201" spans="3:4">
      <c r="C201" s="8">
        <v>8</v>
      </c>
      <c r="D201" s="8">
        <v>15500.84</v>
      </c>
    </row>
    <row r="202" spans="3:4">
      <c r="C202" s="8">
        <v>26</v>
      </c>
      <c r="D202" s="8">
        <v>13907.32</v>
      </c>
    </row>
    <row r="203" spans="3:4">
      <c r="C203" s="8">
        <v>9</v>
      </c>
      <c r="D203" s="8">
        <v>7381.42</v>
      </c>
    </row>
    <row r="204" spans="3:4">
      <c r="C204" s="8">
        <v>5</v>
      </c>
      <c r="D204" s="8">
        <v>5432.02</v>
      </c>
    </row>
    <row r="205" spans="3:4">
      <c r="C205" s="8">
        <v>4</v>
      </c>
      <c r="D205" s="8">
        <v>24166.14</v>
      </c>
    </row>
    <row r="206" spans="3:4">
      <c r="C206" s="8">
        <v>13</v>
      </c>
      <c r="D206" s="8">
        <v>2348.44</v>
      </c>
    </row>
    <row r="207" spans="3:4">
      <c r="C207" s="8">
        <v>8</v>
      </c>
      <c r="D207" s="8">
        <v>1474.18</v>
      </c>
    </row>
    <row r="208" spans="3:4">
      <c r="C208" s="8">
        <v>7</v>
      </c>
      <c r="D208" s="8">
        <v>24655.23</v>
      </c>
    </row>
    <row r="209" spans="3:4">
      <c r="C209" s="8">
        <v>9</v>
      </c>
      <c r="D209" s="8">
        <v>30317.26</v>
      </c>
    </row>
    <row r="210" spans="3:4">
      <c r="C210" s="8">
        <v>9</v>
      </c>
      <c r="D210" s="8">
        <v>30405.73</v>
      </c>
    </row>
    <row r="211" spans="3:4">
      <c r="C211" s="8">
        <v>9</v>
      </c>
      <c r="D211" s="8">
        <v>36861.21</v>
      </c>
    </row>
    <row r="212" spans="3:4">
      <c r="C212" s="8">
        <v>27</v>
      </c>
      <c r="D212" s="8">
        <v>38907.68</v>
      </c>
    </row>
    <row r="213" spans="3:4">
      <c r="C213" s="8">
        <v>18</v>
      </c>
      <c r="D213" s="8">
        <v>24217.32</v>
      </c>
    </row>
    <row r="214" spans="3:4">
      <c r="C214" s="8">
        <v>17</v>
      </c>
      <c r="D214" s="8">
        <v>9043.85</v>
      </c>
    </row>
    <row r="215" spans="3:4">
      <c r="C215" s="8">
        <v>17</v>
      </c>
      <c r="D215" s="8">
        <v>23390.36</v>
      </c>
    </row>
    <row r="216" spans="3:4">
      <c r="C216" s="8">
        <v>29</v>
      </c>
      <c r="D216" s="8">
        <v>30735.48</v>
      </c>
    </row>
    <row r="217" spans="3:4">
      <c r="C217" s="8">
        <v>9</v>
      </c>
      <c r="D217" s="8">
        <v>644.37</v>
      </c>
    </row>
    <row r="218" spans="3:4">
      <c r="C218" s="8">
        <v>15</v>
      </c>
      <c r="D218" s="8">
        <v>29245.59</v>
      </c>
    </row>
    <row r="219" spans="3:4">
      <c r="C219" s="8">
        <v>21</v>
      </c>
      <c r="D219" s="8">
        <v>40494.089999999997</v>
      </c>
    </row>
    <row r="220" spans="3:4">
      <c r="C220" s="8">
        <v>2</v>
      </c>
      <c r="D220" s="8">
        <v>4088.45</v>
      </c>
    </row>
    <row r="221" spans="3:4">
      <c r="C221" s="8">
        <v>4</v>
      </c>
      <c r="D221" s="8">
        <v>5954.73</v>
      </c>
    </row>
    <row r="222" spans="3:4">
      <c r="C222" s="8">
        <v>17</v>
      </c>
      <c r="D222" s="8">
        <v>31758.54</v>
      </c>
    </row>
    <row r="223" spans="3:4">
      <c r="C223" s="8">
        <v>29</v>
      </c>
      <c r="D223" s="8">
        <v>20257.98</v>
      </c>
    </row>
    <row r="224" spans="3:4">
      <c r="C224" s="8">
        <v>9</v>
      </c>
      <c r="D224" s="8">
        <v>39493.67</v>
      </c>
    </row>
    <row r="225" spans="3:4">
      <c r="C225" s="8">
        <v>21</v>
      </c>
      <c r="D225" s="8">
        <v>26028.639999999999</v>
      </c>
    </row>
    <row r="226" spans="3:4">
      <c r="C226" s="8">
        <v>11</v>
      </c>
      <c r="D226" s="8">
        <v>43022.49</v>
      </c>
    </row>
    <row r="227" spans="3:4">
      <c r="C227" s="8">
        <v>18</v>
      </c>
      <c r="D227" s="8">
        <v>3754.01</v>
      </c>
    </row>
    <row r="228" spans="3:4">
      <c r="C228" s="8">
        <v>30</v>
      </c>
      <c r="D228" s="8">
        <v>36973.339999999997</v>
      </c>
    </row>
    <row r="229" spans="3:4">
      <c r="C229" s="8">
        <v>14</v>
      </c>
      <c r="D229" s="8">
        <v>14779.84</v>
      </c>
    </row>
    <row r="230" spans="3:4">
      <c r="C230" s="8">
        <v>9</v>
      </c>
      <c r="D230" s="8">
        <v>8031.51</v>
      </c>
    </row>
    <row r="231" spans="3:4">
      <c r="C231" s="8">
        <v>29</v>
      </c>
      <c r="D231" s="8">
        <v>21091.200000000001</v>
      </c>
    </row>
    <row r="232" spans="3:4">
      <c r="C232" s="8">
        <v>11</v>
      </c>
      <c r="D232" s="8">
        <v>1518.44</v>
      </c>
    </row>
    <row r="233" spans="3:4">
      <c r="C233" s="8">
        <v>14</v>
      </c>
      <c r="D233" s="8">
        <v>21484.45</v>
      </c>
    </row>
    <row r="234" spans="3:4">
      <c r="C234" s="8">
        <v>26</v>
      </c>
      <c r="D234" s="8">
        <v>5136.3</v>
      </c>
    </row>
    <row r="235" spans="3:4">
      <c r="C235" s="8">
        <v>19</v>
      </c>
      <c r="D235" s="8">
        <v>46866.74</v>
      </c>
    </row>
    <row r="236" spans="3:4">
      <c r="C236" s="8">
        <v>16</v>
      </c>
      <c r="D236" s="8">
        <v>44447.64</v>
      </c>
    </row>
    <row r="237" spans="3:4">
      <c r="C237" s="8">
        <v>28</v>
      </c>
      <c r="D237" s="8">
        <v>8690.27</v>
      </c>
    </row>
    <row r="238" spans="3:4">
      <c r="C238" s="8">
        <v>17</v>
      </c>
      <c r="D238" s="8">
        <v>9434.76</v>
      </c>
    </row>
    <row r="239" spans="3:4">
      <c r="C239" s="8">
        <v>18</v>
      </c>
      <c r="D239" s="8">
        <v>23079.89</v>
      </c>
    </row>
    <row r="240" spans="3:4">
      <c r="C240" s="8">
        <v>22</v>
      </c>
      <c r="D240" s="8">
        <v>15571.17</v>
      </c>
    </row>
    <row r="241" spans="3:4">
      <c r="C241" s="8">
        <v>5</v>
      </c>
      <c r="D241" s="8">
        <v>33025.4</v>
      </c>
    </row>
    <row r="242" spans="3:4">
      <c r="C242" s="8">
        <v>21</v>
      </c>
      <c r="D242" s="8">
        <v>7249.42</v>
      </c>
    </row>
    <row r="243" spans="3:4">
      <c r="C243" s="8">
        <v>12</v>
      </c>
      <c r="D243" s="8">
        <v>40104.839999999997</v>
      </c>
    </row>
    <row r="244" spans="3:4">
      <c r="C244" s="8">
        <v>22</v>
      </c>
      <c r="D244" s="8">
        <v>41733.730000000003</v>
      </c>
    </row>
    <row r="245" spans="3:4">
      <c r="C245" s="8">
        <v>27</v>
      </c>
      <c r="D245" s="8">
        <v>4814.92</v>
      </c>
    </row>
    <row r="246" spans="3:4">
      <c r="C246" s="8">
        <v>26</v>
      </c>
      <c r="D246" s="8">
        <v>29356.89</v>
      </c>
    </row>
    <row r="247" spans="3:4">
      <c r="C247" s="8">
        <v>22</v>
      </c>
      <c r="D247" s="8">
        <v>27382.51</v>
      </c>
    </row>
    <row r="248" spans="3:4">
      <c r="C248" s="8">
        <v>5</v>
      </c>
      <c r="D248" s="8">
        <v>14755.33</v>
      </c>
    </row>
    <row r="249" spans="3:4">
      <c r="C249" s="8">
        <v>6</v>
      </c>
      <c r="D249" s="8">
        <v>40356.949999999997</v>
      </c>
    </row>
    <row r="250" spans="3:4">
      <c r="C250" s="8">
        <v>8</v>
      </c>
      <c r="D250" s="8">
        <v>42744.31</v>
      </c>
    </row>
    <row r="251" spans="3:4">
      <c r="C251" s="8">
        <v>30</v>
      </c>
      <c r="D251" s="8">
        <v>25341.35</v>
      </c>
    </row>
    <row r="252" spans="3:4">
      <c r="C252" s="8">
        <v>14</v>
      </c>
      <c r="D252" s="8">
        <v>13351.43</v>
      </c>
    </row>
    <row r="253" spans="3:4">
      <c r="C253" s="8">
        <v>19</v>
      </c>
      <c r="D253" s="8">
        <v>27000.18</v>
      </c>
    </row>
    <row r="254" spans="3:4">
      <c r="C254" s="8">
        <v>1</v>
      </c>
      <c r="D254" s="8">
        <v>7840.16</v>
      </c>
    </row>
    <row r="255" spans="3:4">
      <c r="C255" s="8">
        <v>7</v>
      </c>
      <c r="D255" s="8">
        <v>44753.73</v>
      </c>
    </row>
    <row r="256" spans="3:4">
      <c r="C256" s="8">
        <v>16</v>
      </c>
      <c r="D256" s="8">
        <v>35819.24</v>
      </c>
    </row>
    <row r="257" spans="3:4">
      <c r="C257" s="8">
        <v>13</v>
      </c>
      <c r="D257" s="8">
        <v>42777.21</v>
      </c>
    </row>
    <row r="258" spans="3:4">
      <c r="C258" s="8">
        <v>13</v>
      </c>
      <c r="D258" s="8">
        <v>11215.87</v>
      </c>
    </row>
    <row r="259" spans="3:4">
      <c r="C259" s="8">
        <v>29</v>
      </c>
      <c r="D259" s="8">
        <v>7447.05</v>
      </c>
    </row>
    <row r="260" spans="3:4">
      <c r="C260" s="8">
        <v>5</v>
      </c>
      <c r="D260" s="8">
        <v>8201.64</v>
      </c>
    </row>
    <row r="261" spans="3:4">
      <c r="C261" s="8">
        <v>22</v>
      </c>
      <c r="D261" s="8">
        <v>37842.68</v>
      </c>
    </row>
    <row r="262" spans="3:4">
      <c r="C262" s="8">
        <v>1</v>
      </c>
      <c r="D262" s="8">
        <v>18704.23</v>
      </c>
    </row>
    <row r="263" spans="3:4">
      <c r="C263" s="8">
        <v>4</v>
      </c>
      <c r="D263" s="8">
        <v>19214.95</v>
      </c>
    </row>
    <row r="264" spans="3:4">
      <c r="C264" s="8">
        <v>10</v>
      </c>
      <c r="D264" s="8">
        <v>33603.07</v>
      </c>
    </row>
    <row r="265" spans="3:4">
      <c r="C265" s="8">
        <v>30</v>
      </c>
      <c r="D265" s="8">
        <v>8910.11</v>
      </c>
    </row>
    <row r="266" spans="3:4">
      <c r="C266" s="8">
        <v>28</v>
      </c>
      <c r="D266" s="8">
        <v>9731.23</v>
      </c>
    </row>
    <row r="267" spans="3:4">
      <c r="C267" s="8">
        <v>18</v>
      </c>
      <c r="D267" s="8">
        <v>31813.98</v>
      </c>
    </row>
    <row r="268" spans="3:4">
      <c r="C268" s="8">
        <v>11</v>
      </c>
      <c r="D268" s="8">
        <v>29585.99</v>
      </c>
    </row>
    <row r="269" spans="3:4">
      <c r="C269" s="8">
        <v>9</v>
      </c>
      <c r="D269" s="8">
        <v>9095.58</v>
      </c>
    </row>
    <row r="270" spans="3:4">
      <c r="C270" s="8">
        <v>10</v>
      </c>
      <c r="D270" s="8">
        <v>6566.83</v>
      </c>
    </row>
    <row r="271" spans="3:4">
      <c r="C271" s="8">
        <v>13</v>
      </c>
      <c r="D271" s="8">
        <v>14189.17</v>
      </c>
    </row>
    <row r="272" spans="3:4">
      <c r="C272" s="8">
        <v>4</v>
      </c>
      <c r="D272" s="8">
        <v>14646.72</v>
      </c>
    </row>
    <row r="273" spans="3:4">
      <c r="C273" s="8">
        <v>5</v>
      </c>
      <c r="D273" s="8">
        <v>35845.83</v>
      </c>
    </row>
    <row r="274" spans="3:4">
      <c r="C274" s="8">
        <v>18</v>
      </c>
      <c r="D274" s="8">
        <v>40374.19</v>
      </c>
    </row>
    <row r="275" spans="3:4">
      <c r="C275" s="8">
        <v>20</v>
      </c>
      <c r="D275" s="8">
        <v>35560.04</v>
      </c>
    </row>
    <row r="276" spans="3:4">
      <c r="C276" s="8">
        <v>23</v>
      </c>
      <c r="D276" s="8">
        <v>15295.87</v>
      </c>
    </row>
    <row r="277" spans="3:4">
      <c r="C277" s="8">
        <v>29</v>
      </c>
      <c r="D277" s="8">
        <v>23704.82</v>
      </c>
    </row>
    <row r="278" spans="3:4">
      <c r="C278" s="8">
        <v>30</v>
      </c>
      <c r="D278" s="8">
        <v>39689.83</v>
      </c>
    </row>
    <row r="279" spans="3:4">
      <c r="C279" s="8">
        <v>25</v>
      </c>
      <c r="D279" s="8">
        <v>46146.82</v>
      </c>
    </row>
    <row r="280" spans="3:4">
      <c r="C280" s="8">
        <v>30</v>
      </c>
      <c r="D280" s="8">
        <v>29874.11</v>
      </c>
    </row>
    <row r="281" spans="3:4">
      <c r="C281" s="8">
        <v>25</v>
      </c>
      <c r="D281" s="8">
        <v>21888.47</v>
      </c>
    </row>
    <row r="282" spans="3:4">
      <c r="C282" s="8">
        <v>15</v>
      </c>
      <c r="D282" s="8">
        <v>2983.43</v>
      </c>
    </row>
    <row r="283" spans="3:4">
      <c r="C283" s="8">
        <v>14</v>
      </c>
      <c r="D283" s="8">
        <v>23365.1</v>
      </c>
    </row>
    <row r="284" spans="3:4">
      <c r="C284" s="8">
        <v>8</v>
      </c>
      <c r="D284" s="8">
        <v>11858</v>
      </c>
    </row>
    <row r="285" spans="3:4">
      <c r="C285" s="8">
        <v>6</v>
      </c>
      <c r="D285" s="8">
        <v>22715.01</v>
      </c>
    </row>
    <row r="286" spans="3:4">
      <c r="C286" s="8">
        <v>3</v>
      </c>
      <c r="D286" s="8">
        <v>9472.9</v>
      </c>
    </row>
    <row r="287" spans="3:4">
      <c r="C287" s="8">
        <v>1</v>
      </c>
      <c r="D287" s="8">
        <v>8207.19</v>
      </c>
    </row>
    <row r="288" spans="3:4">
      <c r="C288" s="8">
        <v>7</v>
      </c>
      <c r="D288" s="8">
        <v>5101.75</v>
      </c>
    </row>
    <row r="289" spans="3:4">
      <c r="C289" s="8">
        <v>16</v>
      </c>
      <c r="D289" s="8">
        <v>38397.83</v>
      </c>
    </row>
    <row r="290" spans="3:4">
      <c r="C290" s="8">
        <v>28</v>
      </c>
      <c r="D290" s="8">
        <v>35617.81</v>
      </c>
    </row>
    <row r="291" spans="3:4">
      <c r="C291" s="8">
        <v>23</v>
      </c>
      <c r="D291" s="8">
        <v>3588.93</v>
      </c>
    </row>
    <row r="292" spans="3:4">
      <c r="C292" s="8">
        <v>23</v>
      </c>
      <c r="D292" s="8">
        <v>49611.46</v>
      </c>
    </row>
    <row r="293" spans="3:4">
      <c r="C293" s="8">
        <v>8</v>
      </c>
      <c r="D293" s="8">
        <v>5957.19</v>
      </c>
    </row>
    <row r="294" spans="3:4">
      <c r="C294" s="8">
        <v>15</v>
      </c>
      <c r="D294" s="8">
        <v>5623.41</v>
      </c>
    </row>
    <row r="295" spans="3:4">
      <c r="C295" s="8">
        <v>7</v>
      </c>
      <c r="D295" s="8">
        <v>40782.44</v>
      </c>
    </row>
    <row r="296" spans="3:4">
      <c r="C296" s="8">
        <v>26</v>
      </c>
      <c r="D296" s="8">
        <v>26779.56</v>
      </c>
    </row>
    <row r="297" spans="3:4">
      <c r="C297" s="8">
        <v>12</v>
      </c>
      <c r="D297" s="8">
        <v>41421.660000000003</v>
      </c>
    </row>
    <row r="298" spans="3:4">
      <c r="C298" s="8">
        <v>4</v>
      </c>
      <c r="D298" s="8">
        <v>30034.67</v>
      </c>
    </row>
    <row r="299" spans="3:4">
      <c r="C299" s="8">
        <v>22</v>
      </c>
      <c r="D299" s="8">
        <v>39524.11</v>
      </c>
    </row>
    <row r="300" spans="3:4">
      <c r="C300" s="8">
        <v>18</v>
      </c>
      <c r="D300" s="8">
        <v>18450.12</v>
      </c>
    </row>
    <row r="301" spans="3:4">
      <c r="C301" s="8">
        <v>12</v>
      </c>
      <c r="D301" s="8">
        <v>17811.560000000001</v>
      </c>
    </row>
    <row r="302" spans="3:4">
      <c r="C302" s="8">
        <v>11</v>
      </c>
      <c r="D302" s="8">
        <v>10864.65</v>
      </c>
    </row>
    <row r="303" spans="3:4">
      <c r="C303" s="8">
        <v>25</v>
      </c>
      <c r="D303" s="8">
        <v>17380.23</v>
      </c>
    </row>
    <row r="304" spans="3:4">
      <c r="C304" s="8">
        <v>12</v>
      </c>
      <c r="D304" s="8">
        <v>40986.480000000003</v>
      </c>
    </row>
    <row r="305" spans="3:4">
      <c r="C305" s="8">
        <v>3</v>
      </c>
      <c r="D305" s="8">
        <v>40819.1</v>
      </c>
    </row>
    <row r="306" spans="3:4">
      <c r="C306" s="8">
        <v>27</v>
      </c>
      <c r="D306" s="8">
        <v>28079.03</v>
      </c>
    </row>
    <row r="307" spans="3:4">
      <c r="C307" s="8">
        <v>14</v>
      </c>
      <c r="D307" s="8">
        <v>45174.27</v>
      </c>
    </row>
    <row r="308" spans="3:4">
      <c r="C308" s="8">
        <v>28</v>
      </c>
      <c r="D308" s="8">
        <v>12563.68</v>
      </c>
    </row>
    <row r="309" spans="3:4">
      <c r="C309" s="8">
        <v>20</v>
      </c>
      <c r="D309" s="8">
        <v>36598.980000000003</v>
      </c>
    </row>
    <row r="310" spans="3:4">
      <c r="C310" s="8">
        <v>8</v>
      </c>
      <c r="D310" s="8">
        <v>10231.16</v>
      </c>
    </row>
    <row r="311" spans="3:4">
      <c r="C311" s="8">
        <v>4</v>
      </c>
      <c r="D311" s="8">
        <v>36812.94</v>
      </c>
    </row>
    <row r="312" spans="3:4">
      <c r="C312" s="8">
        <v>16</v>
      </c>
      <c r="D312" s="8">
        <v>24281.37</v>
      </c>
    </row>
    <row r="313" spans="3:4">
      <c r="C313" s="8">
        <v>5</v>
      </c>
      <c r="D313" s="8">
        <v>41167.11</v>
      </c>
    </row>
    <row r="314" spans="3:4">
      <c r="C314" s="8">
        <v>13</v>
      </c>
      <c r="D314" s="8">
        <v>3389.45</v>
      </c>
    </row>
    <row r="315" spans="3:4">
      <c r="C315" s="8">
        <v>3</v>
      </c>
      <c r="D315" s="8">
        <v>38205.08</v>
      </c>
    </row>
    <row r="316" spans="3:4">
      <c r="C316" s="8">
        <v>8</v>
      </c>
      <c r="D316" s="8">
        <v>2374.56</v>
      </c>
    </row>
    <row r="317" spans="3:4">
      <c r="C317" s="8">
        <v>24</v>
      </c>
      <c r="D317" s="8">
        <v>40653.089999999997</v>
      </c>
    </row>
    <row r="318" spans="3:4">
      <c r="C318" s="8">
        <v>24</v>
      </c>
      <c r="D318" s="8">
        <v>29961.46</v>
      </c>
    </row>
    <row r="319" spans="3:4">
      <c r="C319" s="8">
        <v>12</v>
      </c>
      <c r="D319" s="8">
        <v>3206.71</v>
      </c>
    </row>
    <row r="320" spans="3:4">
      <c r="C320" s="8">
        <v>13</v>
      </c>
      <c r="D320" s="8">
        <v>15081.01</v>
      </c>
    </row>
    <row r="321" spans="3:4">
      <c r="C321" s="8">
        <v>19</v>
      </c>
      <c r="D321" s="8">
        <v>5608.6</v>
      </c>
    </row>
    <row r="322" spans="3:4">
      <c r="C322" s="8">
        <v>14</v>
      </c>
      <c r="D322" s="8">
        <v>42266.51</v>
      </c>
    </row>
    <row r="323" spans="3:4">
      <c r="C323" s="8">
        <v>18</v>
      </c>
      <c r="D323" s="8">
        <v>12918.48</v>
      </c>
    </row>
    <row r="324" spans="3:4">
      <c r="C324" s="8">
        <v>30</v>
      </c>
      <c r="D324" s="8">
        <v>44757.62</v>
      </c>
    </row>
    <row r="325" spans="3:4">
      <c r="C325" s="8">
        <v>3</v>
      </c>
      <c r="D325" s="8">
        <v>20156.23</v>
      </c>
    </row>
    <row r="326" spans="3:4">
      <c r="C326" s="8">
        <v>25</v>
      </c>
      <c r="D326" s="8">
        <v>34699.910000000003</v>
      </c>
    </row>
    <row r="327" spans="3:4">
      <c r="C327" s="8">
        <v>17</v>
      </c>
      <c r="D327" s="8">
        <v>41785.19</v>
      </c>
    </row>
    <row r="328" spans="3:4">
      <c r="C328" s="8">
        <v>4</v>
      </c>
      <c r="D328" s="8">
        <v>15681.64</v>
      </c>
    </row>
    <row r="329" spans="3:4">
      <c r="C329" s="8">
        <v>22</v>
      </c>
      <c r="D329" s="8">
        <v>25268.99</v>
      </c>
    </row>
    <row r="330" spans="3:4">
      <c r="C330" s="8">
        <v>22</v>
      </c>
      <c r="D330" s="8">
        <v>13270.51</v>
      </c>
    </row>
    <row r="331" spans="3:4">
      <c r="C331" s="8">
        <v>16</v>
      </c>
      <c r="D331" s="8">
        <v>38456</v>
      </c>
    </row>
    <row r="332" spans="3:4">
      <c r="C332" s="8">
        <v>3</v>
      </c>
      <c r="D332" s="8">
        <v>30137.759999999998</v>
      </c>
    </row>
    <row r="333" spans="3:4">
      <c r="C333" s="8">
        <v>5</v>
      </c>
      <c r="D333" s="8">
        <v>44600.86</v>
      </c>
    </row>
    <row r="334" spans="3:4">
      <c r="C334" s="8">
        <v>1</v>
      </c>
      <c r="D334" s="8">
        <v>30876.63</v>
      </c>
    </row>
    <row r="335" spans="3:4">
      <c r="C335" s="8">
        <v>21</v>
      </c>
      <c r="D335" s="8">
        <v>49370.080000000002</v>
      </c>
    </row>
    <row r="336" spans="3:4">
      <c r="C336" s="8">
        <v>2</v>
      </c>
      <c r="D336" s="8">
        <v>15343.25</v>
      </c>
    </row>
    <row r="337" spans="3:4">
      <c r="C337" s="8">
        <v>29</v>
      </c>
      <c r="D337" s="8">
        <v>1241.8900000000001</v>
      </c>
    </row>
    <row r="338" spans="3:4">
      <c r="C338" s="8">
        <v>15</v>
      </c>
      <c r="D338" s="8">
        <v>42214.97</v>
      </c>
    </row>
    <row r="339" spans="3:4">
      <c r="C339" s="8">
        <v>25</v>
      </c>
      <c r="D339" s="8">
        <v>39822.53</v>
      </c>
    </row>
    <row r="340" spans="3:4">
      <c r="C340" s="8">
        <v>27</v>
      </c>
      <c r="D340" s="8">
        <v>29793.31</v>
      </c>
    </row>
    <row r="341" spans="3:4">
      <c r="C341" s="8">
        <v>26</v>
      </c>
      <c r="D341" s="8">
        <v>16075.01</v>
      </c>
    </row>
    <row r="342" spans="3:4">
      <c r="C342" s="8">
        <v>10</v>
      </c>
      <c r="D342" s="8">
        <v>13787.76</v>
      </c>
    </row>
    <row r="343" spans="3:4">
      <c r="C343" s="8">
        <v>25</v>
      </c>
      <c r="D343" s="8">
        <v>7542.47</v>
      </c>
    </row>
    <row r="344" spans="3:4">
      <c r="C344" s="8">
        <v>1</v>
      </c>
      <c r="D344" s="8">
        <v>32530.97</v>
      </c>
    </row>
    <row r="345" spans="3:4">
      <c r="C345" s="8">
        <v>25</v>
      </c>
      <c r="D345" s="8">
        <v>21419.27</v>
      </c>
    </row>
    <row r="346" spans="3:4">
      <c r="C346" s="8">
        <v>16</v>
      </c>
      <c r="D346" s="8">
        <v>11228.64</v>
      </c>
    </row>
    <row r="347" spans="3:4">
      <c r="C347" s="8">
        <v>22</v>
      </c>
      <c r="D347" s="8">
        <v>7340.31</v>
      </c>
    </row>
    <row r="348" spans="3:4">
      <c r="C348" s="8">
        <v>27</v>
      </c>
      <c r="D348" s="8">
        <v>49186.57</v>
      </c>
    </row>
    <row r="349" spans="3:4">
      <c r="C349" s="8">
        <v>16</v>
      </c>
      <c r="D349" s="8">
        <v>1786.84</v>
      </c>
    </row>
    <row r="350" spans="3:4">
      <c r="C350" s="8">
        <v>22</v>
      </c>
      <c r="D350" s="8">
        <v>40075.910000000003</v>
      </c>
    </row>
    <row r="351" spans="3:4">
      <c r="C351" s="8">
        <v>7</v>
      </c>
      <c r="D351" s="8">
        <v>13343.64</v>
      </c>
    </row>
    <row r="352" spans="3:4">
      <c r="C352" s="8">
        <v>16</v>
      </c>
      <c r="D352" s="8">
        <v>42570.22</v>
      </c>
    </row>
    <row r="353" spans="3:4">
      <c r="C353" s="8">
        <v>17</v>
      </c>
      <c r="D353" s="8">
        <v>26668.1</v>
      </c>
    </row>
    <row r="354" spans="3:4">
      <c r="C354" s="8">
        <v>25</v>
      </c>
      <c r="D354" s="8">
        <v>4437.83</v>
      </c>
    </row>
    <row r="355" spans="3:4">
      <c r="C355" s="8">
        <v>26</v>
      </c>
      <c r="D355" s="8">
        <v>29873.98</v>
      </c>
    </row>
    <row r="356" spans="3:4">
      <c r="C356" s="8">
        <v>22</v>
      </c>
      <c r="D356" s="8">
        <v>48718.85</v>
      </c>
    </row>
    <row r="357" spans="3:4">
      <c r="C357" s="8">
        <v>29</v>
      </c>
      <c r="D357" s="8">
        <v>41963.43</v>
      </c>
    </row>
    <row r="358" spans="3:4">
      <c r="C358" s="8">
        <v>8</v>
      </c>
      <c r="D358" s="8">
        <v>31690.68</v>
      </c>
    </row>
    <row r="359" spans="3:4">
      <c r="C359" s="8">
        <v>13</v>
      </c>
      <c r="D359" s="8">
        <v>47989.9</v>
      </c>
    </row>
    <row r="360" spans="3:4">
      <c r="C360" s="8">
        <v>23</v>
      </c>
      <c r="D360" s="8">
        <v>17464.080000000002</v>
      </c>
    </row>
    <row r="361" spans="3:4">
      <c r="C361" s="8">
        <v>7</v>
      </c>
      <c r="D361" s="8">
        <v>47061.14</v>
      </c>
    </row>
    <row r="362" spans="3:4">
      <c r="C362" s="8">
        <v>6</v>
      </c>
      <c r="D362" s="8">
        <v>36397.269999999997</v>
      </c>
    </row>
    <row r="363" spans="3:4">
      <c r="C363" s="8">
        <v>20</v>
      </c>
      <c r="D363" s="8">
        <v>20582.11</v>
      </c>
    </row>
    <row r="364" spans="3:4">
      <c r="C364" s="8">
        <v>27</v>
      </c>
      <c r="D364" s="8">
        <v>15461.09</v>
      </c>
    </row>
    <row r="365" spans="3:4">
      <c r="C365" s="8">
        <v>28</v>
      </c>
      <c r="D365" s="8">
        <v>43398.559999999998</v>
      </c>
    </row>
    <row r="366" spans="3:4">
      <c r="C366" s="8">
        <v>3</v>
      </c>
      <c r="D366" s="8">
        <v>24108.400000000001</v>
      </c>
    </row>
    <row r="367" spans="3:4">
      <c r="C367" s="8">
        <v>3</v>
      </c>
      <c r="D367" s="8">
        <v>45260.11</v>
      </c>
    </row>
    <row r="368" spans="3:4">
      <c r="C368" s="8">
        <v>15</v>
      </c>
      <c r="D368" s="8">
        <v>47476.75</v>
      </c>
    </row>
    <row r="369" spans="3:4">
      <c r="C369" s="8">
        <v>13</v>
      </c>
      <c r="D369" s="8">
        <v>5103.1099999999997</v>
      </c>
    </row>
    <row r="370" spans="3:4">
      <c r="C370" s="8">
        <v>28</v>
      </c>
      <c r="D370" s="8">
        <v>23693.439999999999</v>
      </c>
    </row>
    <row r="371" spans="3:4">
      <c r="C371" s="8">
        <v>9</v>
      </c>
      <c r="D371" s="8">
        <v>18983.79</v>
      </c>
    </row>
    <row r="372" spans="3:4">
      <c r="C372" s="8">
        <v>12</v>
      </c>
      <c r="D372" s="8">
        <v>11152.67</v>
      </c>
    </row>
    <row r="373" spans="3:4">
      <c r="C373" s="8">
        <v>20</v>
      </c>
      <c r="D373" s="8">
        <v>37394.49</v>
      </c>
    </row>
    <row r="374" spans="3:4">
      <c r="C374" s="8">
        <v>7</v>
      </c>
      <c r="D374" s="8">
        <v>12770.28</v>
      </c>
    </row>
    <row r="375" spans="3:4">
      <c r="C375" s="8">
        <v>29</v>
      </c>
      <c r="D375" s="8">
        <v>12564.46</v>
      </c>
    </row>
    <row r="376" spans="3:4">
      <c r="C376" s="8">
        <v>6</v>
      </c>
      <c r="D376" s="8">
        <v>42758.23</v>
      </c>
    </row>
    <row r="377" spans="3:4">
      <c r="C377" s="8">
        <v>7</v>
      </c>
      <c r="D377" s="8">
        <v>16422.830000000002</v>
      </c>
    </row>
    <row r="378" spans="3:4">
      <c r="C378" s="8">
        <v>15</v>
      </c>
      <c r="D378" s="8">
        <v>28652.46</v>
      </c>
    </row>
    <row r="379" spans="3:4">
      <c r="C379" s="8">
        <v>17</v>
      </c>
      <c r="D379" s="8">
        <v>46993.14</v>
      </c>
    </row>
    <row r="380" spans="3:4">
      <c r="C380" s="8">
        <v>8</v>
      </c>
      <c r="D380" s="8">
        <v>30030.69</v>
      </c>
    </row>
    <row r="381" spans="3:4">
      <c r="C381" s="8">
        <v>27</v>
      </c>
      <c r="D381" s="8">
        <v>32445.1</v>
      </c>
    </row>
    <row r="382" spans="3:4">
      <c r="C382" s="8">
        <v>22</v>
      </c>
      <c r="D382" s="8">
        <v>33734.15</v>
      </c>
    </row>
    <row r="383" spans="3:4">
      <c r="C383" s="8">
        <v>21</v>
      </c>
      <c r="D383" s="8">
        <v>7987.5</v>
      </c>
    </row>
    <row r="384" spans="3:4">
      <c r="C384" s="8">
        <v>5</v>
      </c>
      <c r="D384" s="8">
        <v>11185.3</v>
      </c>
    </row>
    <row r="385" spans="3:4">
      <c r="C385" s="8">
        <v>21</v>
      </c>
      <c r="D385" s="8">
        <v>3697.15</v>
      </c>
    </row>
    <row r="386" spans="3:4">
      <c r="C386" s="8">
        <v>26</v>
      </c>
      <c r="D386" s="8">
        <v>41999.91</v>
      </c>
    </row>
    <row r="387" spans="3:4">
      <c r="C387" s="8">
        <v>3</v>
      </c>
      <c r="D387" s="8">
        <v>24890.81</v>
      </c>
    </row>
    <row r="388" spans="3:4">
      <c r="C388" s="8">
        <v>11</v>
      </c>
      <c r="D388" s="8">
        <v>36918.080000000002</v>
      </c>
    </row>
    <row r="389" spans="3:4">
      <c r="C389" s="8">
        <v>24</v>
      </c>
      <c r="D389" s="8">
        <v>19944.400000000001</v>
      </c>
    </row>
    <row r="390" spans="3:4">
      <c r="C390" s="8">
        <v>17</v>
      </c>
      <c r="D390" s="8">
        <v>22925.81</v>
      </c>
    </row>
    <row r="391" spans="3:4">
      <c r="C391" s="8">
        <v>17</v>
      </c>
      <c r="D391" s="8">
        <v>16077.29</v>
      </c>
    </row>
    <row r="392" spans="3:4">
      <c r="C392" s="8">
        <v>18</v>
      </c>
      <c r="D392" s="8">
        <v>15360.31</v>
      </c>
    </row>
    <row r="393" spans="3:4">
      <c r="C393" s="8">
        <v>9</v>
      </c>
      <c r="D393" s="8">
        <v>49225.66</v>
      </c>
    </row>
    <row r="394" spans="3:4">
      <c r="C394" s="8">
        <v>5</v>
      </c>
      <c r="D394" s="8">
        <v>33333.89</v>
      </c>
    </row>
    <row r="395" spans="3:4">
      <c r="C395" s="8">
        <v>11</v>
      </c>
      <c r="D395" s="8">
        <v>26318.240000000002</v>
      </c>
    </row>
    <row r="396" spans="3:4">
      <c r="C396" s="8">
        <v>23</v>
      </c>
      <c r="D396" s="8">
        <v>10693.06</v>
      </c>
    </row>
    <row r="397" spans="3:4">
      <c r="C397" s="8">
        <v>28</v>
      </c>
      <c r="D397" s="8">
        <v>11271.94</v>
      </c>
    </row>
    <row r="398" spans="3:4">
      <c r="C398" s="8">
        <v>16</v>
      </c>
      <c r="D398" s="8">
        <v>33805.17</v>
      </c>
    </row>
    <row r="399" spans="3:4">
      <c r="C399" s="8">
        <v>14</v>
      </c>
      <c r="D399" s="8">
        <v>21450.84</v>
      </c>
    </row>
    <row r="400" spans="3:4">
      <c r="C400" s="8">
        <v>3</v>
      </c>
      <c r="D400" s="8">
        <v>36515.519999999997</v>
      </c>
    </row>
    <row r="401" spans="3:4">
      <c r="C401" s="8">
        <v>20</v>
      </c>
      <c r="D401" s="8">
        <v>43180.9</v>
      </c>
    </row>
    <row r="402" spans="3:4">
      <c r="C402" s="8">
        <v>22</v>
      </c>
      <c r="D402" s="8">
        <v>45027.47</v>
      </c>
    </row>
    <row r="403" spans="3:4">
      <c r="C403" s="8">
        <v>25</v>
      </c>
      <c r="D403" s="8">
        <v>42017.33</v>
      </c>
    </row>
    <row r="404" spans="3:4">
      <c r="C404" s="8">
        <v>28</v>
      </c>
      <c r="D404" s="8">
        <v>40168.58</v>
      </c>
    </row>
    <row r="405" spans="3:4">
      <c r="C405" s="8">
        <v>28</v>
      </c>
      <c r="D405" s="8">
        <v>42266.15</v>
      </c>
    </row>
    <row r="406" spans="3:4">
      <c r="C406" s="8">
        <v>29</v>
      </c>
      <c r="D406" s="8">
        <v>43558.77</v>
      </c>
    </row>
    <row r="407" spans="3:4">
      <c r="C407" s="8">
        <v>14</v>
      </c>
      <c r="D407" s="8">
        <v>31917.42</v>
      </c>
    </row>
    <row r="408" spans="3:4">
      <c r="C408" s="8">
        <v>13</v>
      </c>
      <c r="D408" s="8">
        <v>40000.629999999997</v>
      </c>
    </row>
    <row r="409" spans="3:4">
      <c r="C409" s="8">
        <v>26</v>
      </c>
      <c r="D409" s="8">
        <v>21983.45</v>
      </c>
    </row>
    <row r="410" spans="3:4">
      <c r="C410" s="8">
        <v>15</v>
      </c>
      <c r="D410" s="8">
        <v>40540.65</v>
      </c>
    </row>
    <row r="411" spans="3:4">
      <c r="C411" s="8">
        <v>24</v>
      </c>
      <c r="D411" s="8">
        <v>21109.66</v>
      </c>
    </row>
    <row r="412" spans="3:4">
      <c r="C412" s="8">
        <v>10</v>
      </c>
      <c r="D412" s="8">
        <v>4821.25</v>
      </c>
    </row>
    <row r="413" spans="3:4">
      <c r="C413" s="8">
        <v>7</v>
      </c>
      <c r="D413" s="8">
        <v>23253.4</v>
      </c>
    </row>
    <row r="414" spans="3:4">
      <c r="C414" s="8">
        <v>5</v>
      </c>
      <c r="D414" s="8">
        <v>2019.12</v>
      </c>
    </row>
    <row r="415" spans="3:4">
      <c r="C415" s="8">
        <v>6</v>
      </c>
      <c r="D415" s="8">
        <v>44175.61</v>
      </c>
    </row>
    <row r="416" spans="3:4">
      <c r="C416" s="8">
        <v>25</v>
      </c>
      <c r="D416" s="8">
        <v>2495.7399999999998</v>
      </c>
    </row>
    <row r="417" spans="3:4">
      <c r="C417" s="8">
        <v>10</v>
      </c>
      <c r="D417" s="8">
        <v>24841.37</v>
      </c>
    </row>
    <row r="418" spans="3:4">
      <c r="C418" s="8">
        <v>22</v>
      </c>
      <c r="D418" s="8">
        <v>2620.5500000000002</v>
      </c>
    </row>
    <row r="419" spans="3:4">
      <c r="C419" s="8">
        <v>8</v>
      </c>
      <c r="D419" s="8">
        <v>35358.35</v>
      </c>
    </row>
    <row r="420" spans="3:4">
      <c r="C420" s="8">
        <v>13</v>
      </c>
      <c r="D420" s="8">
        <v>12492.99</v>
      </c>
    </row>
    <row r="421" spans="3:4">
      <c r="C421" s="8">
        <v>17</v>
      </c>
      <c r="D421" s="8">
        <v>38086.78</v>
      </c>
    </row>
    <row r="422" spans="3:4">
      <c r="C422" s="8">
        <v>19</v>
      </c>
      <c r="D422" s="8">
        <v>19263.86</v>
      </c>
    </row>
    <row r="423" spans="3:4">
      <c r="C423" s="8">
        <v>14</v>
      </c>
      <c r="D423" s="8">
        <v>35834.81</v>
      </c>
    </row>
    <row r="424" spans="3:4">
      <c r="C424" s="8">
        <v>24</v>
      </c>
      <c r="D424" s="8">
        <v>8824.9699999999993</v>
      </c>
    </row>
    <row r="425" spans="3:4">
      <c r="C425" s="8">
        <v>15</v>
      </c>
      <c r="D425" s="8">
        <v>38286.04</v>
      </c>
    </row>
    <row r="426" spans="3:4">
      <c r="C426" s="8">
        <v>9</v>
      </c>
      <c r="D426" s="8">
        <v>11309.95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0FF39-8F89-4B02-9920-87C37F3B0866}">
  <dimension ref="A3:C20"/>
  <sheetViews>
    <sheetView workbookViewId="0">
      <selection activeCell="B3" sqref="B3"/>
    </sheetView>
  </sheetViews>
  <sheetFormatPr defaultRowHeight="15"/>
  <cols>
    <col min="1" max="1" width="11.7109375" bestFit="1" customWidth="1"/>
    <col min="2" max="2" width="18.28515625" bestFit="1" customWidth="1"/>
    <col min="3" max="3" width="15" bestFit="1" customWidth="1"/>
  </cols>
  <sheetData>
    <row r="3" spans="1:3">
      <c r="A3" s="9" t="s">
        <v>14</v>
      </c>
      <c r="B3" s="8" t="s">
        <v>25</v>
      </c>
      <c r="C3" s="8" t="s">
        <v>54</v>
      </c>
    </row>
    <row r="4" spans="1:3">
      <c r="A4" s="8" t="s">
        <v>17</v>
      </c>
      <c r="B4" s="7">
        <v>909</v>
      </c>
      <c r="C4" s="7"/>
    </row>
    <row r="5" spans="1:3">
      <c r="A5" s="8" t="s">
        <v>18</v>
      </c>
      <c r="B5" s="7">
        <v>880</v>
      </c>
      <c r="C5" s="7"/>
    </row>
    <row r="6" spans="1:3">
      <c r="A6" s="8" t="s">
        <v>19</v>
      </c>
      <c r="B6" s="7">
        <v>906</v>
      </c>
      <c r="C6" s="7"/>
    </row>
    <row r="7" spans="1:3">
      <c r="A7" s="8" t="s">
        <v>20</v>
      </c>
      <c r="B7" s="7">
        <v>946</v>
      </c>
      <c r="C7" s="7"/>
    </row>
    <row r="8" spans="1:3">
      <c r="A8" s="8" t="s">
        <v>21</v>
      </c>
      <c r="B8" s="7"/>
      <c r="C8" s="4">
        <v>929.33912803532007</v>
      </c>
    </row>
    <row r="9" spans="1:3">
      <c r="A9" s="8" t="s">
        <v>31</v>
      </c>
      <c r="B9" s="7"/>
      <c r="C9" s="4">
        <v>952.44701986754967</v>
      </c>
    </row>
    <row r="10" spans="1:3">
      <c r="A10" s="8" t="s">
        <v>33</v>
      </c>
      <c r="B10" s="7"/>
      <c r="C10" s="4">
        <v>968.27090231788077</v>
      </c>
    </row>
    <row r="11" spans="1:3">
      <c r="A11" s="8" t="s">
        <v>34</v>
      </c>
      <c r="B11" s="7"/>
      <c r="C11" s="4">
        <v>962.24275662251659</v>
      </c>
    </row>
    <row r="12" spans="1:3">
      <c r="A12" s="8" t="s">
        <v>35</v>
      </c>
      <c r="B12" s="7"/>
      <c r="C12" s="4">
        <v>906.73358167770425</v>
      </c>
    </row>
    <row r="13" spans="1:3">
      <c r="A13" s="8" t="s">
        <v>36</v>
      </c>
      <c r="B13" s="7"/>
      <c r="C13" s="4">
        <v>920.54808222958059</v>
      </c>
    </row>
    <row r="14" spans="1:3">
      <c r="A14" s="8" t="s">
        <v>37</v>
      </c>
      <c r="B14" s="7"/>
      <c r="C14" s="4">
        <v>901.45895419426051</v>
      </c>
    </row>
    <row r="15" spans="1:3">
      <c r="A15" s="8" t="s">
        <v>38</v>
      </c>
      <c r="B15" s="7"/>
      <c r="C15" s="4">
        <v>934.61375551876381</v>
      </c>
    </row>
    <row r="16" spans="1:3">
      <c r="A16" s="8" t="s">
        <v>55</v>
      </c>
      <c r="B16" s="7">
        <v>3641</v>
      </c>
      <c r="C16" s="4">
        <v>7475.6541804635763</v>
      </c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D84A-B700-4471-A112-B0822B82658F}">
  <dimension ref="A3:C20"/>
  <sheetViews>
    <sheetView workbookViewId="0">
      <selection activeCell="B17" sqref="B17"/>
    </sheetView>
  </sheetViews>
  <sheetFormatPr defaultRowHeight="15"/>
  <cols>
    <col min="1" max="1" width="11.7109375" bestFit="1" customWidth="1"/>
    <col min="2" max="2" width="22.85546875" bestFit="1" customWidth="1"/>
    <col min="3" max="3" width="12.140625" bestFit="1" customWidth="1"/>
  </cols>
  <sheetData>
    <row r="3" spans="1:3">
      <c r="A3" s="9" t="s">
        <v>14</v>
      </c>
      <c r="B3" s="8" t="s">
        <v>56</v>
      </c>
      <c r="C3" s="8" t="s">
        <v>57</v>
      </c>
    </row>
    <row r="4" spans="1:3">
      <c r="A4" s="8" t="s">
        <v>17</v>
      </c>
      <c r="B4" s="18">
        <v>24272831.717500001</v>
      </c>
      <c r="C4" s="18">
        <v>23437428.609999999</v>
      </c>
    </row>
    <row r="5" spans="1:3">
      <c r="A5" s="8" t="s">
        <v>18</v>
      </c>
      <c r="B5" s="18">
        <v>21338642.9375</v>
      </c>
      <c r="C5" s="18">
        <v>22537910.370000001</v>
      </c>
    </row>
    <row r="6" spans="1:3">
      <c r="A6" s="8" t="s">
        <v>19</v>
      </c>
      <c r="B6" s="18">
        <v>23917057.815000001</v>
      </c>
      <c r="C6" s="18">
        <v>22892160.010000002</v>
      </c>
    </row>
    <row r="7" spans="1:3">
      <c r="A7" s="8" t="s">
        <v>20</v>
      </c>
      <c r="B7" s="18">
        <v>22760948.202500001</v>
      </c>
      <c r="C7" s="18">
        <v>23516859.530000001</v>
      </c>
    </row>
    <row r="8" spans="1:3">
      <c r="A8" s="8" t="s">
        <v>58</v>
      </c>
      <c r="B8" s="18">
        <v>23340898.645</v>
      </c>
      <c r="C8" s="18">
        <v>5431298.4900000002</v>
      </c>
    </row>
    <row r="9" spans="1:3">
      <c r="A9" s="8" t="s">
        <v>55</v>
      </c>
      <c r="B9" s="18">
        <v>115630379.3175</v>
      </c>
      <c r="C9" s="18">
        <v>97815657.010000005</v>
      </c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2BF12-03BA-4DD6-B6AC-B74CB0C20A72}">
  <dimension ref="A3:C20"/>
  <sheetViews>
    <sheetView workbookViewId="0">
      <selection activeCell="B4" sqref="B4"/>
    </sheetView>
  </sheetViews>
  <sheetFormatPr defaultRowHeight="15"/>
  <cols>
    <col min="1" max="1" width="11.7109375" bestFit="1" customWidth="1"/>
    <col min="2" max="2" width="22.85546875" bestFit="1" customWidth="1"/>
    <col min="3" max="3" width="12.140625" bestFit="1" customWidth="1"/>
  </cols>
  <sheetData>
    <row r="3" spans="1:3">
      <c r="A3" s="9" t="s">
        <v>14</v>
      </c>
      <c r="B3" s="8" t="s">
        <v>59</v>
      </c>
      <c r="C3" s="8" t="s">
        <v>57</v>
      </c>
    </row>
    <row r="4" spans="1:3">
      <c r="A4" s="8" t="s">
        <v>17</v>
      </c>
      <c r="B4" s="7">
        <v>945.75</v>
      </c>
      <c r="C4" s="7">
        <v>909</v>
      </c>
    </row>
    <row r="5" spans="1:3">
      <c r="A5" s="8" t="s">
        <v>18</v>
      </c>
      <c r="B5" s="7">
        <v>843.75</v>
      </c>
      <c r="C5" s="7">
        <v>880</v>
      </c>
    </row>
    <row r="6" spans="1:3">
      <c r="A6" s="8" t="s">
        <v>19</v>
      </c>
      <c r="B6" s="7">
        <v>941.5</v>
      </c>
      <c r="C6" s="7">
        <v>906</v>
      </c>
    </row>
    <row r="7" spans="1:3">
      <c r="A7" s="8" t="s">
        <v>20</v>
      </c>
      <c r="B7" s="7">
        <v>893</v>
      </c>
      <c r="C7" s="7">
        <v>946</v>
      </c>
    </row>
    <row r="8" spans="1:3">
      <c r="A8" s="8" t="s">
        <v>58</v>
      </c>
      <c r="B8" s="7">
        <v>925</v>
      </c>
      <c r="C8" s="7">
        <v>213</v>
      </c>
    </row>
    <row r="9" spans="1:3">
      <c r="A9" s="8" t="s">
        <v>55</v>
      </c>
      <c r="B9" s="7">
        <v>4549</v>
      </c>
      <c r="C9" s="7">
        <v>3854</v>
      </c>
    </row>
    <row r="10" spans="1:3">
      <c r="A10" s="8"/>
      <c r="B10" s="8"/>
      <c r="C10" s="8"/>
    </row>
    <row r="11" spans="1:3">
      <c r="A11" s="8"/>
      <c r="B11" s="8"/>
      <c r="C11" s="8"/>
    </row>
    <row r="12" spans="1:3">
      <c r="A12" s="8"/>
      <c r="B12" s="8"/>
      <c r="C12" s="8"/>
    </row>
    <row r="13" spans="1:3">
      <c r="A13" s="8"/>
      <c r="B13" s="8"/>
      <c r="C13" s="8"/>
    </row>
    <row r="14" spans="1:3">
      <c r="A14" s="8"/>
      <c r="B14" s="8"/>
      <c r="C14" s="8"/>
    </row>
    <row r="15" spans="1:3">
      <c r="A15" s="8"/>
      <c r="B15" s="8"/>
      <c r="C15" s="8"/>
    </row>
    <row r="16" spans="1:3">
      <c r="A16" s="8"/>
      <c r="B16" s="8"/>
      <c r="C16" s="8"/>
    </row>
    <row r="17" spans="1:3">
      <c r="A17" s="8"/>
      <c r="B17" s="8"/>
      <c r="C17" s="8"/>
    </row>
    <row r="18" spans="1:3">
      <c r="A18" s="8"/>
      <c r="B18" s="8"/>
      <c r="C18" s="8"/>
    </row>
    <row r="19" spans="1:3">
      <c r="A19" s="8"/>
      <c r="B19" s="8"/>
      <c r="C19" s="8"/>
    </row>
    <row r="20" spans="1:3">
      <c r="A20" s="8"/>
      <c r="B20" s="8"/>
      <c r="C2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2026-06-27T00:01:11Z</dcterms:created>
  <dcterms:modified xsi:type="dcterms:W3CDTF">2026-08-12T04:16:02Z</dcterms:modified>
  <cp:category/>
  <cp:contentStatus/>
</cp:coreProperties>
</file>